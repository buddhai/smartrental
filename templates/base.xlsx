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ajgroup365-my.sharepoint.com/personal/jh_kwon_ajnet_co_kr/Documents/문서/업무폴더/01.영업이력/20260317 레인보우로보틱스/시공테크(세르비아 베오그라드)/"/>
    </mc:Choice>
  </mc:AlternateContent>
  <xr:revisionPtr revIDLastSave="71" documentId="8_{BD772DF2-76A2-489C-B1C2-72A8DCDDB410}" xr6:coauthVersionLast="47" xr6:coauthVersionMax="47" xr10:uidLastSave="{983897CC-DF35-4333-AA41-367196797C44}"/>
  <bookViews>
    <workbookView xWindow="-108" yWindow="-108" windowWidth="23256" windowHeight="12456" firstSheet="1" activeTab="1" xr2:uid="{00000000-000D-0000-FFFF-FFFF00000000}"/>
  </bookViews>
  <sheets>
    <sheet name="체크_시공테크 12개월" sheetId="1" r:id="rId1"/>
    <sheet name="시공테크 12개월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2" l="1"/>
  <c r="L6" i="2"/>
  <c r="L26" i="2" l="1"/>
  <c r="P26" i="2" s="1"/>
  <c r="E14" i="2"/>
  <c r="C14" i="2"/>
  <c r="L7" i="2"/>
  <c r="G6" i="2"/>
  <c r="Q21" i="1"/>
  <c r="Q20" i="1"/>
  <c r="Q19" i="1"/>
  <c r="Q18" i="1"/>
  <c r="Q17" i="1"/>
  <c r="Q16" i="1"/>
  <c r="Q15" i="1"/>
  <c r="Q14" i="1"/>
  <c r="Q13" i="1"/>
  <c r="Q12" i="1"/>
  <c r="Q11" i="1"/>
  <c r="E7" i="1"/>
  <c r="H6" i="1"/>
  <c r="J18" i="1" s="1"/>
  <c r="E6" i="1"/>
  <c r="B5" i="1"/>
  <c r="E4" i="1"/>
  <c r="B11" i="1" s="1"/>
  <c r="B4" i="1"/>
  <c r="A1" i="1"/>
  <c r="D13" i="2" l="1"/>
  <c r="L13" i="2" s="1"/>
  <c r="F9" i="2"/>
  <c r="K9" i="2"/>
  <c r="B3" i="1"/>
  <c r="K4" i="2"/>
  <c r="N13" i="2"/>
  <c r="O14" i="2" s="1"/>
  <c r="B17" i="1"/>
  <c r="F17" i="1" s="1"/>
  <c r="B15" i="1"/>
  <c r="F15" i="1" s="1"/>
  <c r="B14" i="1"/>
  <c r="F14" i="1" s="1"/>
  <c r="B21" i="1"/>
  <c r="F21" i="1" s="1"/>
  <c r="B20" i="1"/>
  <c r="F20" i="1" s="1"/>
  <c r="J12" i="1"/>
  <c r="J22" i="1"/>
  <c r="J16" i="1"/>
  <c r="G9" i="2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J20" i="1"/>
  <c r="J17" i="1"/>
  <c r="J14" i="1"/>
  <c r="J11" i="1"/>
  <c r="B12" i="1"/>
  <c r="B22" i="1"/>
  <c r="B19" i="1"/>
  <c r="B16" i="1"/>
  <c r="B13" i="1"/>
  <c r="J13" i="1"/>
  <c r="C15" i="2"/>
  <c r="M14" i="2"/>
  <c r="M15" i="2" s="1"/>
  <c r="M16" i="2" s="1"/>
  <c r="M17" i="2" s="1"/>
  <c r="M18" i="2" s="1"/>
  <c r="M19" i="2" s="1"/>
  <c r="M20" i="2" s="1"/>
  <c r="M21" i="2" s="1"/>
  <c r="M22" i="2" s="1"/>
  <c r="M23" i="2" s="1"/>
  <c r="M24" i="2" s="1"/>
  <c r="M25" i="2" s="1"/>
  <c r="J19" i="1"/>
  <c r="J21" i="1"/>
  <c r="F11" i="1"/>
  <c r="J15" i="1"/>
  <c r="B18" i="1"/>
  <c r="M6" i="2"/>
  <c r="E3" i="1" s="1"/>
  <c r="E5" i="1"/>
  <c r="G14" i="2" l="1"/>
  <c r="G15" i="2" s="1"/>
  <c r="G16" i="2" s="1"/>
  <c r="G17" i="2" s="1"/>
  <c r="G18" i="2" s="1"/>
  <c r="G19" i="2" s="1"/>
  <c r="G20" i="2" s="1"/>
  <c r="G21" i="2" s="1"/>
  <c r="G22" i="2" s="1"/>
  <c r="G23" i="2" s="1"/>
  <c r="G24" i="2" s="1"/>
  <c r="G25" i="2" s="1"/>
  <c r="G15" i="1"/>
  <c r="G14" i="1"/>
  <c r="C11" i="1"/>
  <c r="G17" i="1"/>
  <c r="G20" i="1"/>
  <c r="C20" i="1"/>
  <c r="G21" i="1"/>
  <c r="C14" i="1"/>
  <c r="K10" i="2"/>
  <c r="L10" i="2" s="1"/>
  <c r="H4" i="1"/>
  <c r="H5" i="1" s="1"/>
  <c r="C15" i="1"/>
  <c r="C21" i="1"/>
  <c r="C17" i="1"/>
  <c r="N14" i="2"/>
  <c r="O15" i="2" s="1"/>
  <c r="F19" i="1"/>
  <c r="C19" i="1"/>
  <c r="F22" i="1"/>
  <c r="C22" i="1"/>
  <c r="F12" i="1"/>
  <c r="C12" i="1"/>
  <c r="G11" i="1"/>
  <c r="F13" i="1"/>
  <c r="C13" i="1"/>
  <c r="F16" i="1"/>
  <c r="C16" i="1"/>
  <c r="C16" i="2"/>
  <c r="H16" i="1"/>
  <c r="H13" i="1"/>
  <c r="H20" i="1"/>
  <c r="H17" i="1"/>
  <c r="H22" i="1"/>
  <c r="H21" i="1"/>
  <c r="H19" i="1"/>
  <c r="H12" i="1"/>
  <c r="H18" i="1"/>
  <c r="H11" i="1"/>
  <c r="H15" i="1"/>
  <c r="H14" i="1"/>
  <c r="F18" i="1"/>
  <c r="C18" i="1"/>
  <c r="L14" i="2" l="1"/>
  <c r="L15" i="2"/>
  <c r="N15" i="2"/>
  <c r="O16" i="2" s="1"/>
  <c r="I11" i="1"/>
  <c r="K11" i="1" s="1"/>
  <c r="L11" i="1" s="1"/>
  <c r="G18" i="1"/>
  <c r="G22" i="1"/>
  <c r="G19" i="1"/>
  <c r="G16" i="1"/>
  <c r="G13" i="1"/>
  <c r="G12" i="1"/>
  <c r="L16" i="2"/>
  <c r="C17" i="2"/>
  <c r="P14" i="2" l="1"/>
  <c r="N16" i="2"/>
  <c r="O17" i="2" s="1"/>
  <c r="M11" i="1"/>
  <c r="I12" i="1"/>
  <c r="K12" i="1" s="1"/>
  <c r="C18" i="2"/>
  <c r="L17" i="2"/>
  <c r="P15" i="2" l="1"/>
  <c r="N17" i="2"/>
  <c r="O18" i="2" s="1"/>
  <c r="P16" i="2"/>
  <c r="M12" i="1"/>
  <c r="L12" i="1"/>
  <c r="I13" i="1"/>
  <c r="L18" i="2"/>
  <c r="C19" i="2"/>
  <c r="N18" i="2" l="1"/>
  <c r="O19" i="2" s="1"/>
  <c r="P17" i="2"/>
  <c r="K13" i="1"/>
  <c r="I14" i="1"/>
  <c r="C20" i="2"/>
  <c r="L19" i="2"/>
  <c r="N19" i="2" l="1"/>
  <c r="O20" i="2" s="1"/>
  <c r="P18" i="2"/>
  <c r="K14" i="1"/>
  <c r="I15" i="1"/>
  <c r="M13" i="1"/>
  <c r="L13" i="1"/>
  <c r="L20" i="2"/>
  <c r="C21" i="2"/>
  <c r="N20" i="2" l="1"/>
  <c r="O21" i="2" s="1"/>
  <c r="P19" i="2"/>
  <c r="K15" i="1"/>
  <c r="I16" i="1"/>
  <c r="L14" i="1"/>
  <c r="M14" i="1"/>
  <c r="C22" i="2"/>
  <c r="L21" i="2"/>
  <c r="N21" i="2" l="1"/>
  <c r="O22" i="2" s="1"/>
  <c r="P20" i="2"/>
  <c r="I17" i="1"/>
  <c r="K16" i="1"/>
  <c r="M15" i="1"/>
  <c r="L15" i="1"/>
  <c r="L22" i="2"/>
  <c r="C23" i="2"/>
  <c r="P21" i="2" l="1"/>
  <c r="N22" i="2"/>
  <c r="O23" i="2" s="1"/>
  <c r="L16" i="1"/>
  <c r="M16" i="1"/>
  <c r="K17" i="1"/>
  <c r="I18" i="1"/>
  <c r="C24" i="2"/>
  <c r="L23" i="2"/>
  <c r="N23" i="2" l="1"/>
  <c r="O24" i="2" s="1"/>
  <c r="P22" i="2"/>
  <c r="K18" i="1"/>
  <c r="I19" i="1"/>
  <c r="L17" i="1"/>
  <c r="M17" i="1"/>
  <c r="L24" i="2"/>
  <c r="C25" i="2"/>
  <c r="L25" i="2" s="1"/>
  <c r="N24" i="2" l="1"/>
  <c r="O25" i="2" s="1"/>
  <c r="P23" i="2"/>
  <c r="K19" i="1"/>
  <c r="I20" i="1"/>
  <c r="L18" i="1"/>
  <c r="M18" i="1"/>
  <c r="L12" i="2"/>
  <c r="N25" i="2" l="1"/>
  <c r="P25" i="2" s="1"/>
  <c r="P24" i="2"/>
  <c r="K20" i="1"/>
  <c r="I21" i="1"/>
  <c r="L19" i="1"/>
  <c r="M19" i="1"/>
  <c r="B6" i="1"/>
  <c r="J6" i="2"/>
  <c r="P27" i="2" l="1"/>
  <c r="P6" i="2" s="1"/>
  <c r="K21" i="1"/>
  <c r="I22" i="1"/>
  <c r="K22" i="1" s="1"/>
  <c r="L20" i="1"/>
  <c r="M20" i="1"/>
  <c r="P7" i="2" l="1"/>
  <c r="B7" i="1"/>
  <c r="M22" i="1"/>
  <c r="L22" i="1"/>
  <c r="M21" i="1"/>
  <c r="L2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I8" authorId="0" shapeId="0" xr:uid="{00000000-0006-0000-0100-000001000000}">
      <text>
        <r>
          <rPr>
            <sz val="9"/>
            <color indexed="81"/>
            <rFont val="돋움"/>
            <family val="3"/>
            <charset val="129"/>
          </rPr>
          <t>총취득가</t>
        </r>
        <r>
          <rPr>
            <sz val="9"/>
            <color indexed="81"/>
            <rFont val="Tahoma"/>
            <family val="2"/>
          </rPr>
          <t>*</t>
        </r>
        <r>
          <rPr>
            <sz val="9"/>
            <color indexed="81"/>
            <rFont val="돋움"/>
            <family val="3"/>
            <charset val="129"/>
          </rPr>
          <t>렌탈기간의</t>
        </r>
        <r>
          <rPr>
            <sz val="9"/>
            <color indexed="81"/>
            <rFont val="Tahoma"/>
            <family val="2"/>
          </rPr>
          <t xml:space="preserve"> 3.80%</t>
        </r>
      </text>
    </comment>
    <comment ref="J8" authorId="0" shapeId="0" xr:uid="{00000000-0006-0000-0100-000002000000}">
      <text>
        <r>
          <rPr>
            <sz val="9"/>
            <color indexed="81"/>
            <rFont val="돋움"/>
            <family val="3"/>
            <charset val="129"/>
          </rPr>
          <t>총취득가</t>
        </r>
        <r>
          <rPr>
            <sz val="9"/>
            <color indexed="81"/>
            <rFont val="Tahoma"/>
            <family val="2"/>
          </rPr>
          <t>*</t>
        </r>
        <r>
          <rPr>
            <sz val="9"/>
            <color indexed="81"/>
            <rFont val="돋움"/>
            <family val="3"/>
            <charset val="129"/>
          </rPr>
          <t>렌탈기간의</t>
        </r>
        <r>
          <rPr>
            <sz val="9"/>
            <color indexed="81"/>
            <rFont val="Tahoma"/>
            <family val="2"/>
          </rPr>
          <t xml:space="preserve"> 0.70%</t>
        </r>
      </text>
    </comment>
  </commentList>
</comments>
</file>

<file path=xl/sharedStrings.xml><?xml version="1.0" encoding="utf-8"?>
<sst xmlns="http://schemas.openxmlformats.org/spreadsheetml/2006/main" count="74" uniqueCount="66">
  <si>
    <t>로봇 매입가</t>
    <phoneticPr fontId="3" type="noConversion"/>
  </si>
  <si>
    <t>회수율</t>
    <phoneticPr fontId="3" type="noConversion"/>
  </si>
  <si>
    <t>중도해지 위약금율</t>
    <phoneticPr fontId="3" type="noConversion"/>
  </si>
  <si>
    <t>기간</t>
    <phoneticPr fontId="3" type="noConversion"/>
  </si>
  <si>
    <t>월 렌탈료</t>
    <phoneticPr fontId="3" type="noConversion"/>
  </si>
  <si>
    <t>보험커버가능액</t>
    <phoneticPr fontId="3" type="noConversion"/>
  </si>
  <si>
    <t>이자율</t>
    <phoneticPr fontId="3" type="noConversion"/>
  </si>
  <si>
    <t>총 렌탈료</t>
    <phoneticPr fontId="3" type="noConversion"/>
  </si>
  <si>
    <t>보험가입율</t>
    <phoneticPr fontId="3" type="noConversion"/>
  </si>
  <si>
    <t>irr</t>
    <phoneticPr fontId="3" type="noConversion"/>
  </si>
  <si>
    <t>잔존가치 비율</t>
    <phoneticPr fontId="3" type="noConversion"/>
  </si>
  <si>
    <t>보증금</t>
    <phoneticPr fontId="3" type="noConversion"/>
  </si>
  <si>
    <t>손익</t>
    <phoneticPr fontId="3" type="noConversion"/>
  </si>
  <si>
    <t>잔존가치액</t>
    <phoneticPr fontId="3" type="noConversion"/>
  </si>
  <si>
    <t>정상채권 상황</t>
    <phoneticPr fontId="3" type="noConversion"/>
  </si>
  <si>
    <t>부실채권 발생 상황</t>
    <phoneticPr fontId="3" type="noConversion"/>
  </si>
  <si>
    <t>회차</t>
  </si>
  <si>
    <t>누적원리금
(a)</t>
    <phoneticPr fontId="3" type="noConversion"/>
  </si>
  <si>
    <t>렌탈료
회수율</t>
    <phoneticPr fontId="3" type="noConversion"/>
  </si>
  <si>
    <t>잔존가치
비율</t>
    <phoneticPr fontId="3" type="noConversion"/>
  </si>
  <si>
    <t>회차별 회수금</t>
    <phoneticPr fontId="3" type="noConversion"/>
  </si>
  <si>
    <t>회수율
(매입가 대비)</t>
    <phoneticPr fontId="3" type="noConversion"/>
  </si>
  <si>
    <t>중도해지
위약금</t>
    <phoneticPr fontId="3" type="noConversion"/>
  </si>
  <si>
    <t>보험커버
가능액(d)</t>
    <phoneticPr fontId="3" type="noConversion"/>
  </si>
  <si>
    <t>담보액</t>
    <phoneticPr fontId="3" type="noConversion"/>
  </si>
  <si>
    <t>최종회수금
(c+d)=( e)</t>
    <phoneticPr fontId="3" type="noConversion"/>
  </si>
  <si>
    <t xml:space="preserve"> 보증필요</t>
    <phoneticPr fontId="3" type="noConversion"/>
  </si>
  <si>
    <t>상품</t>
    <phoneticPr fontId="3" type="noConversion"/>
  </si>
  <si>
    <t>제조사</t>
    <phoneticPr fontId="3" type="noConversion"/>
  </si>
  <si>
    <t>모델</t>
    <phoneticPr fontId="3" type="noConversion"/>
  </si>
  <si>
    <t>취득가</t>
    <phoneticPr fontId="3" type="noConversion"/>
  </si>
  <si>
    <t>수량</t>
    <phoneticPr fontId="3" type="noConversion"/>
  </si>
  <si>
    <t>총취득가</t>
    <phoneticPr fontId="3" type="noConversion"/>
  </si>
  <si>
    <t>렌탈기간</t>
    <phoneticPr fontId="3" type="noConversion"/>
  </si>
  <si>
    <t>RR</t>
    <phoneticPr fontId="3" type="noConversion"/>
  </si>
  <si>
    <t>IRR</t>
    <phoneticPr fontId="3" type="noConversion"/>
  </si>
  <si>
    <t>렌탈료</t>
    <phoneticPr fontId="3" type="noConversion"/>
  </si>
  <si>
    <t>총렌탈료</t>
    <phoneticPr fontId="3" type="noConversion"/>
  </si>
  <si>
    <t>RV</t>
    <phoneticPr fontId="3" type="noConversion"/>
  </si>
  <si>
    <t>손익율</t>
    <phoneticPr fontId="3" type="noConversion"/>
  </si>
  <si>
    <t>로봇</t>
    <phoneticPr fontId="3" type="noConversion"/>
  </si>
  <si>
    <t>설치비(원)</t>
    <phoneticPr fontId="3" type="noConversion"/>
  </si>
  <si>
    <t>VOC비용(원)</t>
    <phoneticPr fontId="3" type="noConversion"/>
  </si>
  <si>
    <t>예비비(원)</t>
    <phoneticPr fontId="3" type="noConversion"/>
  </si>
  <si>
    <t>판관비(원)</t>
    <phoneticPr fontId="3" type="noConversion"/>
  </si>
  <si>
    <t>영업비(원)</t>
    <phoneticPr fontId="3" type="noConversion"/>
  </si>
  <si>
    <t>보증보험
할인율(%)</t>
    <phoneticPr fontId="3" type="noConversion"/>
  </si>
  <si>
    <t>판관비율</t>
    <phoneticPr fontId="3" type="noConversion"/>
  </si>
  <si>
    <t>영업비율</t>
    <phoneticPr fontId="3" type="noConversion"/>
  </si>
  <si>
    <t>보증보험
커버금액</t>
    <phoneticPr fontId="3" type="noConversion"/>
  </si>
  <si>
    <t>보증보험
가입비율</t>
    <phoneticPr fontId="3" type="noConversion"/>
  </si>
  <si>
    <t>1개월차 최소 재매입금액</t>
    <phoneticPr fontId="3" type="noConversion"/>
  </si>
  <si>
    <t>회차</t>
    <phoneticPr fontId="3" type="noConversion"/>
  </si>
  <si>
    <t>월렌탈료</t>
    <phoneticPr fontId="3" type="noConversion"/>
  </si>
  <si>
    <t>예비비</t>
    <phoneticPr fontId="3" type="noConversion"/>
  </si>
  <si>
    <t>보증보험료</t>
    <phoneticPr fontId="3" type="noConversion"/>
  </si>
  <si>
    <t>판관비</t>
  </si>
  <si>
    <t>영업비</t>
  </si>
  <si>
    <t>유지 비용</t>
    <phoneticPr fontId="3" type="noConversion"/>
  </si>
  <si>
    <t>감가상각비</t>
    <phoneticPr fontId="3" type="noConversion"/>
  </si>
  <si>
    <t>원금</t>
    <phoneticPr fontId="3" type="noConversion"/>
  </si>
  <si>
    <t>이자</t>
    <phoneticPr fontId="3" type="noConversion"/>
  </si>
  <si>
    <t xml:space="preserve"> </t>
    <phoneticPr fontId="3" type="noConversion"/>
  </si>
  <si>
    <t>4족보행로봇</t>
    <phoneticPr fontId="3" type="noConversion"/>
  </si>
  <si>
    <t>선수금</t>
    <phoneticPr fontId="3" type="noConversion"/>
  </si>
  <si>
    <t xml:space="preserve"> 4족보행로봇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</si>
</sst>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76" formatCode="&quot;₩&quot;#,##0_);[Red]\(&quot;₩&quot;#,##0\)"/>
    <numFmt numFmtId="177" formatCode="0.0%"/>
  </numFmts>
  <fonts count="1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2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22"/>
      <color theme="1"/>
      <name val="맑은 고딕"/>
      <family val="3"/>
      <charset val="129"/>
      <scheme val="minor"/>
    </font>
    <font>
      <b/>
      <sz val="9"/>
      <color theme="0"/>
      <name val="맑은 고딕"/>
      <family val="2"/>
      <charset val="129"/>
      <scheme val="minor"/>
    </font>
    <font>
      <sz val="9"/>
      <color indexed="81"/>
      <name val="돋움"/>
      <family val="3"/>
      <charset val="129"/>
    </font>
    <font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rgb="FFFF0000"/>
      </right>
      <top/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/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09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41" fontId="5" fillId="0" borderId="0" xfId="1" applyFont="1">
      <alignment vertical="center"/>
    </xf>
    <xf numFmtId="0" fontId="6" fillId="2" borderId="2" xfId="0" applyFont="1" applyFill="1" applyBorder="1" applyAlignment="1">
      <alignment horizontal="center" vertical="center"/>
    </xf>
    <xf numFmtId="41" fontId="7" fillId="0" borderId="3" xfId="1" applyFont="1" applyBorder="1">
      <alignment vertical="center"/>
    </xf>
    <xf numFmtId="41" fontId="7" fillId="0" borderId="0" xfId="1" applyFont="1" applyBorder="1">
      <alignment vertical="center"/>
    </xf>
    <xf numFmtId="10" fontId="7" fillId="0" borderId="3" xfId="0" applyNumberFormat="1" applyFont="1" applyBorder="1">
      <alignment vertical="center"/>
    </xf>
    <xf numFmtId="0" fontId="8" fillId="0" borderId="0" xfId="0" applyFont="1">
      <alignment vertical="center"/>
    </xf>
    <xf numFmtId="0" fontId="9" fillId="2" borderId="2" xfId="0" applyFont="1" applyFill="1" applyBorder="1" applyAlignment="1">
      <alignment horizontal="center" vertical="center"/>
    </xf>
    <xf numFmtId="9" fontId="7" fillId="0" borderId="3" xfId="0" applyNumberFormat="1" applyFont="1" applyBorder="1">
      <alignment vertical="center"/>
    </xf>
    <xf numFmtId="0" fontId="9" fillId="2" borderId="4" xfId="0" applyFont="1" applyFill="1" applyBorder="1" applyAlignment="1">
      <alignment horizontal="center" vertical="center"/>
    </xf>
    <xf numFmtId="41" fontId="7" fillId="0" borderId="5" xfId="1" applyFont="1" applyBorder="1">
      <alignment vertical="center"/>
    </xf>
    <xf numFmtId="43" fontId="7" fillId="0" borderId="0" xfId="0" applyNumberFormat="1" applyFont="1">
      <alignment vertical="center"/>
    </xf>
    <xf numFmtId="41" fontId="9" fillId="2" borderId="4" xfId="0" applyNumberFormat="1" applyFont="1" applyFill="1" applyBorder="1" applyAlignment="1">
      <alignment horizontal="center" vertical="center"/>
    </xf>
    <xf numFmtId="41" fontId="7" fillId="0" borderId="5" xfId="0" applyNumberFormat="1" applyFont="1" applyBorder="1">
      <alignment vertical="center"/>
    </xf>
    <xf numFmtId="10" fontId="7" fillId="0" borderId="5" xfId="1" applyNumberFormat="1" applyFont="1" applyBorder="1">
      <alignment vertical="center"/>
    </xf>
    <xf numFmtId="41" fontId="7" fillId="0" borderId="0" xfId="1" applyFont="1">
      <alignment vertical="center"/>
    </xf>
    <xf numFmtId="10" fontId="7" fillId="0" borderId="5" xfId="0" applyNumberFormat="1" applyFont="1" applyBorder="1">
      <alignment vertical="center"/>
    </xf>
    <xf numFmtId="0" fontId="9" fillId="2" borderId="6" xfId="0" applyFont="1" applyFill="1" applyBorder="1" applyAlignment="1">
      <alignment horizontal="center" vertical="center"/>
    </xf>
    <xf numFmtId="41" fontId="7" fillId="0" borderId="7" xfId="1" applyFont="1" applyBorder="1" applyAlignment="1">
      <alignment horizontal="center" vertical="center"/>
    </xf>
    <xf numFmtId="10" fontId="7" fillId="0" borderId="7" xfId="2" applyNumberFormat="1" applyFont="1" applyBorder="1">
      <alignment vertical="center"/>
    </xf>
    <xf numFmtId="10" fontId="7" fillId="0" borderId="0" xfId="2" applyNumberFormat="1" applyFont="1" applyBorder="1">
      <alignment vertical="center"/>
    </xf>
    <xf numFmtId="41" fontId="7" fillId="0" borderId="7" xfId="0" applyNumberFormat="1" applyFont="1" applyBorder="1">
      <alignment vertical="center"/>
    </xf>
    <xf numFmtId="0" fontId="9" fillId="0" borderId="0" xfId="0" applyFont="1">
      <alignment vertical="center"/>
    </xf>
    <xf numFmtId="41" fontId="7" fillId="0" borderId="0" xfId="0" applyNumberFormat="1" applyFont="1">
      <alignment vertical="center"/>
    </xf>
    <xf numFmtId="0" fontId="12" fillId="4" borderId="14" xfId="0" applyFont="1" applyFill="1" applyBorder="1" applyAlignment="1">
      <alignment horizontal="center" vertical="center"/>
    </xf>
    <xf numFmtId="41" fontId="12" fillId="4" borderId="15" xfId="1" applyFont="1" applyFill="1" applyBorder="1" applyAlignment="1">
      <alignment horizontal="center" vertical="center" wrapText="1"/>
    </xf>
    <xf numFmtId="41" fontId="12" fillId="4" borderId="16" xfId="1" applyFont="1" applyFill="1" applyBorder="1" applyAlignment="1">
      <alignment horizontal="center" vertical="center" wrapText="1"/>
    </xf>
    <xf numFmtId="0" fontId="12" fillId="4" borderId="17" xfId="0" applyFont="1" applyFill="1" applyBorder="1" applyAlignment="1">
      <alignment horizontal="center" vertical="center" wrapText="1"/>
    </xf>
    <xf numFmtId="0" fontId="12" fillId="4" borderId="15" xfId="0" applyFont="1" applyFill="1" applyBorder="1" applyAlignment="1">
      <alignment horizontal="center" vertical="center" wrapText="1"/>
    </xf>
    <xf numFmtId="0" fontId="12" fillId="4" borderId="18" xfId="0" applyFont="1" applyFill="1" applyBorder="1" applyAlignment="1">
      <alignment horizontal="center" vertical="center" wrapText="1"/>
    </xf>
    <xf numFmtId="0" fontId="12" fillId="4" borderId="19" xfId="0" applyFont="1" applyFill="1" applyBorder="1" applyAlignment="1">
      <alignment horizontal="center" vertical="center" wrapText="1"/>
    </xf>
    <xf numFmtId="0" fontId="12" fillId="4" borderId="14" xfId="0" applyFont="1" applyFill="1" applyBorder="1" applyAlignment="1">
      <alignment horizontal="center" vertical="center" wrapText="1"/>
    </xf>
    <xf numFmtId="0" fontId="12" fillId="4" borderId="16" xfId="0" applyFont="1" applyFill="1" applyBorder="1" applyAlignment="1">
      <alignment horizontal="center" vertical="center" wrapText="1"/>
    </xf>
    <xf numFmtId="0" fontId="12" fillId="4" borderId="20" xfId="0" applyFont="1" applyFill="1" applyBorder="1" applyAlignment="1">
      <alignment horizontal="center" vertical="center" wrapText="1"/>
    </xf>
    <xf numFmtId="0" fontId="12" fillId="4" borderId="21" xfId="0" applyFont="1" applyFill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/>
    </xf>
    <xf numFmtId="41" fontId="7" fillId="0" borderId="22" xfId="1" applyFont="1" applyBorder="1" applyAlignment="1">
      <alignment horizontal="center" vertical="center"/>
    </xf>
    <xf numFmtId="10" fontId="7" fillId="5" borderId="23" xfId="2" applyNumberFormat="1" applyFont="1" applyFill="1" applyBorder="1" applyAlignment="1">
      <alignment horizontal="center" vertical="center"/>
    </xf>
    <xf numFmtId="10" fontId="7" fillId="3" borderId="22" xfId="2" applyNumberFormat="1" applyFont="1" applyFill="1" applyBorder="1" applyAlignment="1">
      <alignment horizontal="center" vertical="center"/>
    </xf>
    <xf numFmtId="41" fontId="9" fillId="6" borderId="24" xfId="1" applyFont="1" applyFill="1" applyBorder="1" applyAlignment="1">
      <alignment horizontal="center" vertical="center"/>
    </xf>
    <xf numFmtId="41" fontId="7" fillId="0" borderId="18" xfId="1" applyFont="1" applyBorder="1" applyAlignment="1">
      <alignment horizontal="center" vertical="center"/>
    </xf>
    <xf numFmtId="10" fontId="7" fillId="5" borderId="19" xfId="2" applyNumberFormat="1" applyFont="1" applyFill="1" applyBorder="1" applyAlignment="1">
      <alignment horizontal="center" vertical="center"/>
    </xf>
    <xf numFmtId="41" fontId="7" fillId="0" borderId="14" xfId="1" applyFont="1" applyBorder="1" applyAlignment="1">
      <alignment horizontal="center" vertical="center"/>
    </xf>
    <xf numFmtId="41" fontId="7" fillId="7" borderId="23" xfId="1" applyFont="1" applyFill="1" applyBorder="1" applyAlignment="1">
      <alignment horizontal="center" vertical="center"/>
    </xf>
    <xf numFmtId="41" fontId="7" fillId="7" borderId="17" xfId="1" applyFont="1" applyFill="1" applyBorder="1" applyAlignment="1">
      <alignment horizontal="center" vertical="center"/>
    </xf>
    <xf numFmtId="41" fontId="7" fillId="0" borderId="25" xfId="1" applyFont="1" applyBorder="1" applyAlignment="1">
      <alignment horizontal="center" vertical="center"/>
    </xf>
    <xf numFmtId="10" fontId="7" fillId="0" borderId="18" xfId="2" applyNumberFormat="1" applyFont="1" applyBorder="1" applyAlignment="1">
      <alignment horizontal="center" vertical="center"/>
    </xf>
    <xf numFmtId="38" fontId="7" fillId="7" borderId="19" xfId="2" applyNumberFormat="1" applyFont="1" applyFill="1" applyBorder="1" applyAlignment="1">
      <alignment horizontal="center" vertical="center"/>
    </xf>
    <xf numFmtId="41" fontId="4" fillId="0" borderId="0" xfId="0" applyNumberFormat="1" applyFont="1">
      <alignment vertical="center"/>
    </xf>
    <xf numFmtId="41" fontId="4" fillId="0" borderId="0" xfId="1" applyFont="1">
      <alignment vertical="center"/>
    </xf>
    <xf numFmtId="9" fontId="4" fillId="0" borderId="0" xfId="0" applyNumberFormat="1" applyFont="1">
      <alignment vertical="center"/>
    </xf>
    <xf numFmtId="0" fontId="8" fillId="0" borderId="0" xfId="0" applyFont="1" applyAlignment="1">
      <alignment horizontal="center" vertical="center"/>
    </xf>
    <xf numFmtId="176" fontId="9" fillId="7" borderId="19" xfId="0" applyNumberFormat="1" applyFont="1" applyFill="1" applyBorder="1" applyAlignment="1">
      <alignment horizontal="center" vertical="center"/>
    </xf>
    <xf numFmtId="0" fontId="14" fillId="4" borderId="19" xfId="0" applyFont="1" applyFill="1" applyBorder="1" applyAlignment="1">
      <alignment horizontal="center" vertical="center"/>
    </xf>
    <xf numFmtId="0" fontId="12" fillId="4" borderId="19" xfId="0" applyFont="1" applyFill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 wrapText="1"/>
    </xf>
    <xf numFmtId="41" fontId="9" fillId="7" borderId="19" xfId="1" applyFont="1" applyFill="1" applyBorder="1" applyAlignment="1">
      <alignment horizontal="center" vertical="center"/>
    </xf>
    <xf numFmtId="41" fontId="7" fillId="0" borderId="19" xfId="1" applyFont="1" applyBorder="1" applyAlignment="1">
      <alignment horizontal="center" vertical="center"/>
    </xf>
    <xf numFmtId="10" fontId="7" fillId="0" borderId="19" xfId="0" applyNumberFormat="1" applyFont="1" applyBorder="1" applyAlignment="1">
      <alignment horizontal="center" vertical="center"/>
    </xf>
    <xf numFmtId="10" fontId="9" fillId="7" borderId="19" xfId="0" applyNumberFormat="1" applyFont="1" applyFill="1" applyBorder="1" applyAlignment="1">
      <alignment horizontal="center" vertical="center"/>
    </xf>
    <xf numFmtId="176" fontId="7" fillId="0" borderId="19" xfId="0" applyNumberFormat="1" applyFont="1" applyBorder="1" applyAlignment="1">
      <alignment horizontal="center" vertical="center"/>
    </xf>
    <xf numFmtId="10" fontId="7" fillId="0" borderId="19" xfId="2" applyNumberFormat="1" applyFont="1" applyBorder="1" applyAlignment="1">
      <alignment horizontal="center" vertical="center"/>
    </xf>
    <xf numFmtId="177" fontId="7" fillId="0" borderId="19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176" fontId="8" fillId="0" borderId="0" xfId="0" applyNumberFormat="1" applyFont="1">
      <alignment vertical="center"/>
    </xf>
    <xf numFmtId="41" fontId="7" fillId="0" borderId="0" xfId="1" applyFont="1" applyBorder="1" applyAlignment="1">
      <alignment horizontal="center" vertical="center"/>
    </xf>
    <xf numFmtId="10" fontId="7" fillId="0" borderId="0" xfId="0" applyNumberFormat="1" applyFont="1" applyAlignment="1">
      <alignment horizontal="center" vertical="center"/>
    </xf>
    <xf numFmtId="176" fontId="7" fillId="0" borderId="0" xfId="0" applyNumberFormat="1" applyFont="1" applyAlignment="1">
      <alignment horizontal="center" vertical="center"/>
    </xf>
    <xf numFmtId="177" fontId="7" fillId="0" borderId="0" xfId="2" applyNumberFormat="1" applyFont="1" applyBorder="1" applyAlignment="1">
      <alignment horizontal="center" vertical="center"/>
    </xf>
    <xf numFmtId="9" fontId="7" fillId="0" borderId="0" xfId="0" applyNumberFormat="1" applyFont="1" applyAlignment="1">
      <alignment horizontal="center" vertical="center"/>
    </xf>
    <xf numFmtId="10" fontId="7" fillId="0" borderId="0" xfId="2" applyNumberFormat="1" applyFont="1" applyBorder="1" applyAlignment="1">
      <alignment horizontal="center" vertical="center"/>
    </xf>
    <xf numFmtId="0" fontId="7" fillId="8" borderId="26" xfId="0" applyFont="1" applyFill="1" applyBorder="1" applyAlignment="1">
      <alignment horizontal="center" vertical="center"/>
    </xf>
    <xf numFmtId="0" fontId="7" fillId="8" borderId="26" xfId="0" applyFont="1" applyFill="1" applyBorder="1" applyAlignment="1">
      <alignment horizontal="center" vertical="center" wrapText="1"/>
    </xf>
    <xf numFmtId="176" fontId="8" fillId="8" borderId="26" xfId="0" applyNumberFormat="1" applyFont="1" applyFill="1" applyBorder="1" applyAlignment="1">
      <alignment horizontal="center" vertical="center"/>
    </xf>
    <xf numFmtId="41" fontId="7" fillId="8" borderId="26" xfId="1" applyFont="1" applyFill="1" applyBorder="1" applyAlignment="1">
      <alignment horizontal="center" vertical="center"/>
    </xf>
    <xf numFmtId="41" fontId="7" fillId="8" borderId="26" xfId="1" applyFont="1" applyFill="1" applyBorder="1" applyAlignment="1">
      <alignment horizontal="center" vertical="center" wrapText="1"/>
    </xf>
    <xf numFmtId="41" fontId="7" fillId="8" borderId="19" xfId="1" applyFont="1" applyFill="1" applyBorder="1" applyAlignment="1">
      <alignment horizontal="center" vertical="center" wrapText="1"/>
    </xf>
    <xf numFmtId="41" fontId="7" fillId="9" borderId="19" xfId="1" applyFont="1" applyFill="1" applyBorder="1" applyAlignment="1">
      <alignment horizontal="center" vertical="center"/>
    </xf>
    <xf numFmtId="41" fontId="7" fillId="9" borderId="19" xfId="1" applyFont="1" applyFill="1" applyBorder="1" applyAlignment="1">
      <alignment horizontal="center" vertical="center" wrapText="1"/>
    </xf>
    <xf numFmtId="41" fontId="8" fillId="9" borderId="19" xfId="1" applyFont="1" applyFill="1" applyBorder="1" applyAlignment="1">
      <alignment horizontal="center" vertical="center"/>
    </xf>
    <xf numFmtId="9" fontId="7" fillId="9" borderId="19" xfId="1" applyNumberFormat="1" applyFont="1" applyFill="1" applyBorder="1" applyAlignment="1">
      <alignment horizontal="center" vertical="center"/>
    </xf>
    <xf numFmtId="10" fontId="8" fillId="0" borderId="19" xfId="0" applyNumberFormat="1" applyFont="1" applyBorder="1" applyAlignment="1">
      <alignment horizontal="center" vertical="center"/>
    </xf>
    <xf numFmtId="176" fontId="8" fillId="0" borderId="19" xfId="1" applyNumberFormat="1" applyFont="1" applyBorder="1">
      <alignment vertical="center"/>
    </xf>
    <xf numFmtId="9" fontId="7" fillId="0" borderId="19" xfId="2" applyFont="1" applyBorder="1" applyAlignment="1">
      <alignment horizontal="center" vertical="center"/>
    </xf>
    <xf numFmtId="10" fontId="8" fillId="0" borderId="0" xfId="2" applyNumberFormat="1" applyFont="1">
      <alignment vertical="center"/>
    </xf>
    <xf numFmtId="41" fontId="8" fillId="0" borderId="0" xfId="1" applyFont="1">
      <alignment vertical="center"/>
    </xf>
    <xf numFmtId="176" fontId="7" fillId="7" borderId="0" xfId="0" applyNumberFormat="1" applyFont="1" applyFill="1">
      <alignment vertical="center"/>
    </xf>
    <xf numFmtId="0" fontId="9" fillId="0" borderId="19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10" fontId="9" fillId="0" borderId="19" xfId="2" applyNumberFormat="1" applyFont="1" applyBorder="1" applyAlignment="1">
      <alignment horizontal="center" vertical="center"/>
    </xf>
    <xf numFmtId="176" fontId="7" fillId="0" borderId="19" xfId="0" applyNumberFormat="1" applyFont="1" applyBorder="1">
      <alignment vertical="center"/>
    </xf>
    <xf numFmtId="176" fontId="7" fillId="0" borderId="0" xfId="0" applyNumberFormat="1" applyFont="1">
      <alignment vertical="center"/>
    </xf>
    <xf numFmtId="176" fontId="7" fillId="0" borderId="27" xfId="0" applyNumberFormat="1" applyFont="1" applyBorder="1">
      <alignment vertical="center"/>
    </xf>
    <xf numFmtId="0" fontId="13" fillId="0" borderId="11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1" fillId="3" borderId="13" xfId="0" applyFont="1" applyFill="1" applyBorder="1" applyAlignment="1">
      <alignment horizontal="center" vertic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Q24"/>
  <sheetViews>
    <sheetView zoomScaleNormal="100" workbookViewId="0">
      <selection activeCell="F17" sqref="F17"/>
    </sheetView>
  </sheetViews>
  <sheetFormatPr defaultColWidth="9" defaultRowHeight="15.6" x14ac:dyDescent="0.4"/>
  <cols>
    <col min="1" max="1" width="12.09765625" style="2" bestFit="1" customWidth="1"/>
    <col min="2" max="3" width="10" style="3" bestFit="1" customWidth="1"/>
    <col min="4" max="4" width="9.69921875" style="2" customWidth="1"/>
    <col min="5" max="5" width="12.5" style="2" bestFit="1" customWidth="1"/>
    <col min="6" max="6" width="10.59765625" style="2" bestFit="1" customWidth="1"/>
    <col min="7" max="7" width="14.19921875" style="2" bestFit="1" customWidth="1"/>
    <col min="8" max="8" width="9.69921875" style="2" bestFit="1" customWidth="1"/>
    <col min="9" max="9" width="10.5" style="2" bestFit="1" customWidth="1"/>
    <col min="10" max="10" width="9.3984375" style="2" customWidth="1"/>
    <col min="11" max="11" width="10" style="2" bestFit="1" customWidth="1"/>
    <col min="12" max="12" width="10.59765625" style="2" customWidth="1"/>
    <col min="13" max="13" width="12.09765625" style="2" bestFit="1" customWidth="1"/>
    <col min="14" max="14" width="9" style="2"/>
    <col min="15" max="15" width="9.3984375" style="2" bestFit="1" customWidth="1"/>
    <col min="16" max="16" width="9" style="2"/>
    <col min="17" max="17" width="10.8984375" style="2" bestFit="1" customWidth="1"/>
    <col min="18" max="16384" width="9" style="2"/>
  </cols>
  <sheetData>
    <row r="1" spans="1:17" ht="33" x14ac:dyDescent="0.4">
      <c r="A1" s="101" t="str">
        <f>'시공테크 12개월'!B2</f>
        <v xml:space="preserve"> 4족보행로봇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"/>
    </row>
    <row r="2" spans="1:17" ht="16.2" thickBot="1" x14ac:dyDescent="0.45"/>
    <row r="3" spans="1:17" x14ac:dyDescent="0.4">
      <c r="A3" s="4" t="s">
        <v>0</v>
      </c>
      <c r="B3" s="5">
        <f>+'시공테크 12개월'!G6</f>
        <v>178640000</v>
      </c>
      <c r="C3" s="6"/>
      <c r="D3" s="4" t="s">
        <v>1</v>
      </c>
      <c r="E3" s="7">
        <f>+'시공테크 12개월'!M6</f>
        <v>1.1531571876399462</v>
      </c>
      <c r="F3" s="8"/>
      <c r="G3" s="9" t="s">
        <v>2</v>
      </c>
      <c r="H3" s="10">
        <v>1</v>
      </c>
    </row>
    <row r="4" spans="1:17" x14ac:dyDescent="0.4">
      <c r="A4" s="11" t="s">
        <v>3</v>
      </c>
      <c r="B4" s="12">
        <f>+'시공테크 12개월'!H6</f>
        <v>12</v>
      </c>
      <c r="C4" s="6"/>
      <c r="D4" s="11" t="s">
        <v>4</v>
      </c>
      <c r="E4" s="12">
        <f>+'시공테크 12개월'!K6</f>
        <v>13000000</v>
      </c>
      <c r="F4" s="13"/>
      <c r="G4" s="14" t="s">
        <v>5</v>
      </c>
      <c r="H4" s="15">
        <f>+'시공테크 12개월'!K9</f>
        <v>0</v>
      </c>
    </row>
    <row r="5" spans="1:17" x14ac:dyDescent="0.4">
      <c r="A5" s="11" t="s">
        <v>6</v>
      </c>
      <c r="B5" s="16">
        <f>+'시공테크 12개월'!N6</f>
        <v>0.06</v>
      </c>
      <c r="C5" s="17"/>
      <c r="D5" s="11" t="s">
        <v>7</v>
      </c>
      <c r="E5" s="15">
        <f>+'시공테크 12개월'!L6</f>
        <v>206000000</v>
      </c>
      <c r="F5" s="8"/>
      <c r="G5" s="11" t="s">
        <v>8</v>
      </c>
      <c r="H5" s="18">
        <f>+H4/E5</f>
        <v>0</v>
      </c>
    </row>
    <row r="6" spans="1:17" ht="16.2" thickBot="1" x14ac:dyDescent="0.45">
      <c r="A6" s="11" t="s">
        <v>9</v>
      </c>
      <c r="B6" s="16">
        <f>+'시공테크 12개월'!L12</f>
        <v>0.3223340824220724</v>
      </c>
      <c r="C6" s="6"/>
      <c r="D6" s="11" t="s">
        <v>10</v>
      </c>
      <c r="E6" s="18">
        <f>+'시공테크 12개월'!O6</f>
        <v>0</v>
      </c>
      <c r="F6" s="8"/>
      <c r="G6" s="19" t="s">
        <v>11</v>
      </c>
      <c r="H6" s="20">
        <f>+'시공테크 12개월'!K14</f>
        <v>50000000</v>
      </c>
    </row>
    <row r="7" spans="1:17" ht="16.2" thickBot="1" x14ac:dyDescent="0.45">
      <c r="A7" s="19" t="s">
        <v>12</v>
      </c>
      <c r="B7" s="21">
        <f>+'시공테크 12개월'!P6</f>
        <v>0.10799052097994627</v>
      </c>
      <c r="C7" s="22"/>
      <c r="D7" s="19" t="s">
        <v>13</v>
      </c>
      <c r="E7" s="23">
        <f>+'시공테크 12개월'!J26</f>
        <v>0</v>
      </c>
      <c r="F7" s="8"/>
      <c r="G7" s="8"/>
      <c r="H7" s="8"/>
    </row>
    <row r="8" spans="1:17" ht="16.2" thickBot="1" x14ac:dyDescent="0.45">
      <c r="A8" s="24"/>
      <c r="B8" s="22"/>
      <c r="C8" s="22"/>
      <c r="E8" s="24"/>
      <c r="F8" s="25"/>
    </row>
    <row r="9" spans="1:17" ht="16.2" thickBot="1" x14ac:dyDescent="0.45">
      <c r="F9" s="103" t="s">
        <v>14</v>
      </c>
      <c r="G9" s="104"/>
      <c r="H9" s="105"/>
      <c r="I9" s="106" t="s">
        <v>15</v>
      </c>
      <c r="J9" s="107"/>
      <c r="K9" s="107"/>
      <c r="L9" s="108"/>
    </row>
    <row r="10" spans="1:17" ht="26.4" x14ac:dyDescent="0.4">
      <c r="A10" s="26" t="s">
        <v>16</v>
      </c>
      <c r="B10" s="27" t="s">
        <v>17</v>
      </c>
      <c r="C10" s="28" t="s">
        <v>18</v>
      </c>
      <c r="D10" s="29" t="s">
        <v>19</v>
      </c>
      <c r="E10" s="30" t="s">
        <v>13</v>
      </c>
      <c r="F10" s="31" t="s">
        <v>20</v>
      </c>
      <c r="G10" s="32" t="s">
        <v>21</v>
      </c>
      <c r="H10" s="33" t="s">
        <v>22</v>
      </c>
      <c r="I10" s="34" t="s">
        <v>23</v>
      </c>
      <c r="J10" s="35" t="s">
        <v>24</v>
      </c>
      <c r="K10" s="36" t="s">
        <v>25</v>
      </c>
      <c r="L10" s="32" t="s">
        <v>21</v>
      </c>
      <c r="M10" s="32" t="s">
        <v>26</v>
      </c>
    </row>
    <row r="11" spans="1:17" x14ac:dyDescent="0.4">
      <c r="A11" s="37">
        <v>1</v>
      </c>
      <c r="B11" s="38">
        <f>E4</f>
        <v>13000000</v>
      </c>
      <c r="C11" s="39">
        <f>B11/$B$3</f>
        <v>7.2772055530676213E-2</v>
      </c>
      <c r="D11" s="40">
        <v>0</v>
      </c>
      <c r="E11" s="41"/>
      <c r="F11" s="42">
        <f t="shared" ref="F11:F22" si="0">B11+E11</f>
        <v>13000000</v>
      </c>
      <c r="G11" s="43">
        <f>F11/$B$3</f>
        <v>7.2772055530676213E-2</v>
      </c>
      <c r="H11" s="44">
        <f>$E$5-B11</f>
        <v>193000000</v>
      </c>
      <c r="I11" s="45">
        <f>+$H$4</f>
        <v>0</v>
      </c>
      <c r="J11" s="46">
        <f>$H$6</f>
        <v>50000000</v>
      </c>
      <c r="K11" s="47">
        <f t="shared" ref="K11:K22" si="1">F11+I11+J11</f>
        <v>63000000</v>
      </c>
      <c r="L11" s="48">
        <f>K11/$B$3</f>
        <v>0.35266457680250785</v>
      </c>
      <c r="M11" s="49">
        <f>$B$3-K11</f>
        <v>115640000</v>
      </c>
      <c r="O11" s="38">
        <v>22990000</v>
      </c>
      <c r="Q11" s="50">
        <f>O11+$P$11</f>
        <v>22990000</v>
      </c>
    </row>
    <row r="12" spans="1:17" x14ac:dyDescent="0.4">
      <c r="A12" s="37">
        <v>2</v>
      </c>
      <c r="B12" s="38">
        <f>$B$11*A12</f>
        <v>26000000</v>
      </c>
      <c r="C12" s="39">
        <f t="shared" ref="C12:C22" si="2">B12/$B$3</f>
        <v>0.14554411106135243</v>
      </c>
      <c r="D12" s="40">
        <v>0</v>
      </c>
      <c r="E12" s="41"/>
      <c r="F12" s="42">
        <f t="shared" si="0"/>
        <v>26000000</v>
      </c>
      <c r="G12" s="43">
        <f t="shared" ref="G12:G22" si="3">F12/$B$3</f>
        <v>0.14554411106135243</v>
      </c>
      <c r="H12" s="44">
        <f t="shared" ref="H12:H22" si="4">$E$5-B12</f>
        <v>180000000</v>
      </c>
      <c r="I12" s="45">
        <f>IF(H12&gt;I11,I11,H12)</f>
        <v>0</v>
      </c>
      <c r="J12" s="46">
        <f t="shared" ref="J12:J22" si="5">$H$6</f>
        <v>50000000</v>
      </c>
      <c r="K12" s="47">
        <f t="shared" si="1"/>
        <v>76000000</v>
      </c>
      <c r="L12" s="48">
        <f t="shared" ref="L12:L22" si="6">K12/$B$3</f>
        <v>0.42543663233318407</v>
      </c>
      <c r="M12" s="49">
        <f t="shared" ref="M12:M22" si="7">$B$3-K12</f>
        <v>102640000</v>
      </c>
      <c r="O12" s="38">
        <v>20970000</v>
      </c>
      <c r="Q12" s="50">
        <f t="shared" ref="Q12:Q21" si="8">O12+$P$11</f>
        <v>20970000</v>
      </c>
    </row>
    <row r="13" spans="1:17" x14ac:dyDescent="0.4">
      <c r="A13" s="37">
        <v>3</v>
      </c>
      <c r="B13" s="38">
        <f t="shared" ref="B13:B22" si="9">$B$11*A13</f>
        <v>39000000</v>
      </c>
      <c r="C13" s="39">
        <f t="shared" si="2"/>
        <v>0.21831616659202865</v>
      </c>
      <c r="D13" s="40">
        <v>0</v>
      </c>
      <c r="E13" s="41"/>
      <c r="F13" s="42">
        <f t="shared" si="0"/>
        <v>39000000</v>
      </c>
      <c r="G13" s="43">
        <f t="shared" si="3"/>
        <v>0.21831616659202865</v>
      </c>
      <c r="H13" s="44">
        <f t="shared" si="4"/>
        <v>167000000</v>
      </c>
      <c r="I13" s="45">
        <f t="shared" ref="I13:I22" si="10">IF(H13&gt;I12,I12,H13)</f>
        <v>0</v>
      </c>
      <c r="J13" s="46">
        <f t="shared" si="5"/>
        <v>50000000</v>
      </c>
      <c r="K13" s="47">
        <f t="shared" si="1"/>
        <v>89000000</v>
      </c>
      <c r="L13" s="48">
        <f t="shared" si="6"/>
        <v>0.4982086878638603</v>
      </c>
      <c r="M13" s="49">
        <f t="shared" si="7"/>
        <v>89640000</v>
      </c>
      <c r="O13" s="38">
        <v>18950000</v>
      </c>
      <c r="Q13" s="50">
        <f t="shared" si="8"/>
        <v>18950000</v>
      </c>
    </row>
    <row r="14" spans="1:17" x14ac:dyDescent="0.4">
      <c r="A14" s="37">
        <v>4</v>
      </c>
      <c r="B14" s="38">
        <f t="shared" si="9"/>
        <v>52000000</v>
      </c>
      <c r="C14" s="39">
        <f t="shared" si="2"/>
        <v>0.29108822212270485</v>
      </c>
      <c r="D14" s="40">
        <v>0</v>
      </c>
      <c r="E14" s="41"/>
      <c r="F14" s="42">
        <f t="shared" si="0"/>
        <v>52000000</v>
      </c>
      <c r="G14" s="43">
        <f t="shared" si="3"/>
        <v>0.29108822212270485</v>
      </c>
      <c r="H14" s="44">
        <f t="shared" si="4"/>
        <v>154000000</v>
      </c>
      <c r="I14" s="45">
        <f t="shared" si="10"/>
        <v>0</v>
      </c>
      <c r="J14" s="46">
        <f t="shared" si="5"/>
        <v>50000000</v>
      </c>
      <c r="K14" s="47">
        <f t="shared" si="1"/>
        <v>102000000</v>
      </c>
      <c r="L14" s="48">
        <f t="shared" si="6"/>
        <v>0.57098074339453653</v>
      </c>
      <c r="M14" s="49">
        <f t="shared" si="7"/>
        <v>76640000</v>
      </c>
      <c r="O14" s="38">
        <v>16940000</v>
      </c>
      <c r="Q14" s="50">
        <f t="shared" si="8"/>
        <v>16940000</v>
      </c>
    </row>
    <row r="15" spans="1:17" x14ac:dyDescent="0.4">
      <c r="A15" s="37">
        <v>5</v>
      </c>
      <c r="B15" s="38">
        <f t="shared" si="9"/>
        <v>65000000</v>
      </c>
      <c r="C15" s="39">
        <f t="shared" si="2"/>
        <v>0.36386027765338108</v>
      </c>
      <c r="D15" s="40">
        <v>0</v>
      </c>
      <c r="E15" s="41"/>
      <c r="F15" s="42">
        <f t="shared" si="0"/>
        <v>65000000</v>
      </c>
      <c r="G15" s="43">
        <f t="shared" si="3"/>
        <v>0.36386027765338108</v>
      </c>
      <c r="H15" s="44">
        <f t="shared" si="4"/>
        <v>141000000</v>
      </c>
      <c r="I15" s="45">
        <f t="shared" si="10"/>
        <v>0</v>
      </c>
      <c r="J15" s="46">
        <f t="shared" si="5"/>
        <v>50000000</v>
      </c>
      <c r="K15" s="47">
        <f t="shared" si="1"/>
        <v>115000000</v>
      </c>
      <c r="L15" s="48">
        <f t="shared" si="6"/>
        <v>0.64375279892521275</v>
      </c>
      <c r="M15" s="49">
        <f t="shared" si="7"/>
        <v>63640000</v>
      </c>
      <c r="O15" s="38">
        <v>14920000</v>
      </c>
      <c r="Q15" s="50">
        <f t="shared" si="8"/>
        <v>14920000</v>
      </c>
    </row>
    <row r="16" spans="1:17" x14ac:dyDescent="0.4">
      <c r="A16" s="37">
        <v>6</v>
      </c>
      <c r="B16" s="38">
        <f t="shared" si="9"/>
        <v>78000000</v>
      </c>
      <c r="C16" s="39">
        <f t="shared" si="2"/>
        <v>0.43663233318405731</v>
      </c>
      <c r="D16" s="40">
        <v>0</v>
      </c>
      <c r="E16" s="41"/>
      <c r="F16" s="42">
        <f t="shared" si="0"/>
        <v>78000000</v>
      </c>
      <c r="G16" s="43">
        <f t="shared" si="3"/>
        <v>0.43663233318405731</v>
      </c>
      <c r="H16" s="44">
        <f t="shared" si="4"/>
        <v>128000000</v>
      </c>
      <c r="I16" s="45">
        <f t="shared" si="10"/>
        <v>0</v>
      </c>
      <c r="J16" s="46">
        <f t="shared" si="5"/>
        <v>50000000</v>
      </c>
      <c r="K16" s="47">
        <f t="shared" si="1"/>
        <v>128000000</v>
      </c>
      <c r="L16" s="48">
        <f t="shared" si="6"/>
        <v>0.71652485445588898</v>
      </c>
      <c r="M16" s="49">
        <f t="shared" si="7"/>
        <v>50640000</v>
      </c>
      <c r="O16" s="38">
        <v>12900000</v>
      </c>
      <c r="Q16" s="50">
        <f t="shared" si="8"/>
        <v>12900000</v>
      </c>
    </row>
    <row r="17" spans="1:17" x14ac:dyDescent="0.4">
      <c r="A17" s="37">
        <v>7</v>
      </c>
      <c r="B17" s="38">
        <f t="shared" si="9"/>
        <v>91000000</v>
      </c>
      <c r="C17" s="39">
        <f t="shared" si="2"/>
        <v>0.50940438871473359</v>
      </c>
      <c r="D17" s="40">
        <v>0</v>
      </c>
      <c r="E17" s="41"/>
      <c r="F17" s="42">
        <f t="shared" si="0"/>
        <v>91000000</v>
      </c>
      <c r="G17" s="43">
        <f t="shared" si="3"/>
        <v>0.50940438871473359</v>
      </c>
      <c r="H17" s="44">
        <f t="shared" si="4"/>
        <v>115000000</v>
      </c>
      <c r="I17" s="45">
        <f t="shared" si="10"/>
        <v>0</v>
      </c>
      <c r="J17" s="46">
        <f t="shared" si="5"/>
        <v>50000000</v>
      </c>
      <c r="K17" s="47">
        <f t="shared" si="1"/>
        <v>141000000</v>
      </c>
      <c r="L17" s="48">
        <f t="shared" si="6"/>
        <v>0.78929690998656521</v>
      </c>
      <c r="M17" s="49">
        <f t="shared" si="7"/>
        <v>37640000</v>
      </c>
      <c r="O17" s="38">
        <v>10880000</v>
      </c>
      <c r="Q17" s="50">
        <f t="shared" si="8"/>
        <v>10880000</v>
      </c>
    </row>
    <row r="18" spans="1:17" x14ac:dyDescent="0.4">
      <c r="A18" s="37">
        <v>8</v>
      </c>
      <c r="B18" s="38">
        <f t="shared" si="9"/>
        <v>104000000</v>
      </c>
      <c r="C18" s="39">
        <f t="shared" si="2"/>
        <v>0.58217644424540971</v>
      </c>
      <c r="D18" s="40">
        <v>0</v>
      </c>
      <c r="E18" s="41"/>
      <c r="F18" s="42">
        <f t="shared" si="0"/>
        <v>104000000</v>
      </c>
      <c r="G18" s="43">
        <f t="shared" si="3"/>
        <v>0.58217644424540971</v>
      </c>
      <c r="H18" s="44">
        <f t="shared" si="4"/>
        <v>102000000</v>
      </c>
      <c r="I18" s="45">
        <f t="shared" si="10"/>
        <v>0</v>
      </c>
      <c r="J18" s="46">
        <f t="shared" si="5"/>
        <v>50000000</v>
      </c>
      <c r="K18" s="47">
        <f t="shared" si="1"/>
        <v>154000000</v>
      </c>
      <c r="L18" s="48">
        <f t="shared" si="6"/>
        <v>0.86206896551724133</v>
      </c>
      <c r="M18" s="49">
        <f t="shared" si="7"/>
        <v>24640000</v>
      </c>
      <c r="O18" s="38">
        <v>8870000</v>
      </c>
      <c r="Q18" s="50">
        <f>O18+$P$11</f>
        <v>8870000</v>
      </c>
    </row>
    <row r="19" spans="1:17" x14ac:dyDescent="0.4">
      <c r="A19" s="37">
        <v>9</v>
      </c>
      <c r="B19" s="38">
        <f t="shared" si="9"/>
        <v>117000000</v>
      </c>
      <c r="C19" s="39">
        <f t="shared" si="2"/>
        <v>0.65494849977608594</v>
      </c>
      <c r="D19" s="40">
        <v>0</v>
      </c>
      <c r="E19" s="41"/>
      <c r="F19" s="42">
        <f t="shared" si="0"/>
        <v>117000000</v>
      </c>
      <c r="G19" s="43">
        <f t="shared" si="3"/>
        <v>0.65494849977608594</v>
      </c>
      <c r="H19" s="44">
        <f t="shared" si="4"/>
        <v>89000000</v>
      </c>
      <c r="I19" s="45">
        <f t="shared" si="10"/>
        <v>0</v>
      </c>
      <c r="J19" s="46">
        <f t="shared" si="5"/>
        <v>50000000</v>
      </c>
      <c r="K19" s="47">
        <f t="shared" si="1"/>
        <v>167000000</v>
      </c>
      <c r="L19" s="48">
        <f t="shared" si="6"/>
        <v>0.93484102104791755</v>
      </c>
      <c r="M19" s="49">
        <f t="shared" si="7"/>
        <v>11640000</v>
      </c>
      <c r="O19" s="38">
        <v>6850000</v>
      </c>
      <c r="Q19" s="50">
        <f t="shared" si="8"/>
        <v>6850000</v>
      </c>
    </row>
    <row r="20" spans="1:17" x14ac:dyDescent="0.4">
      <c r="A20" s="37">
        <v>10</v>
      </c>
      <c r="B20" s="38">
        <f t="shared" si="9"/>
        <v>130000000</v>
      </c>
      <c r="C20" s="39">
        <f t="shared" si="2"/>
        <v>0.72772055530676216</v>
      </c>
      <c r="D20" s="40">
        <v>0</v>
      </c>
      <c r="E20" s="41"/>
      <c r="F20" s="42">
        <f t="shared" si="0"/>
        <v>130000000</v>
      </c>
      <c r="G20" s="43">
        <f t="shared" si="3"/>
        <v>0.72772055530676216</v>
      </c>
      <c r="H20" s="44">
        <f t="shared" si="4"/>
        <v>76000000</v>
      </c>
      <c r="I20" s="45">
        <f t="shared" si="10"/>
        <v>0</v>
      </c>
      <c r="J20" s="46">
        <f t="shared" si="5"/>
        <v>50000000</v>
      </c>
      <c r="K20" s="47">
        <f t="shared" si="1"/>
        <v>180000000</v>
      </c>
      <c r="L20" s="48">
        <f t="shared" si="6"/>
        <v>1.0076130765785938</v>
      </c>
      <c r="M20" s="49">
        <f t="shared" si="7"/>
        <v>-1360000</v>
      </c>
      <c r="O20" s="38">
        <v>4830000</v>
      </c>
      <c r="Q20" s="50">
        <f t="shared" si="8"/>
        <v>4830000</v>
      </c>
    </row>
    <row r="21" spans="1:17" x14ac:dyDescent="0.4">
      <c r="A21" s="37">
        <v>11</v>
      </c>
      <c r="B21" s="38">
        <f t="shared" si="9"/>
        <v>143000000</v>
      </c>
      <c r="C21" s="39">
        <f t="shared" si="2"/>
        <v>0.80049261083743839</v>
      </c>
      <c r="D21" s="40">
        <v>0</v>
      </c>
      <c r="E21" s="41"/>
      <c r="F21" s="42">
        <f t="shared" si="0"/>
        <v>143000000</v>
      </c>
      <c r="G21" s="43">
        <f t="shared" si="3"/>
        <v>0.80049261083743839</v>
      </c>
      <c r="H21" s="44">
        <f t="shared" si="4"/>
        <v>63000000</v>
      </c>
      <c r="I21" s="45">
        <f t="shared" si="10"/>
        <v>0</v>
      </c>
      <c r="J21" s="46">
        <f t="shared" si="5"/>
        <v>50000000</v>
      </c>
      <c r="K21" s="47">
        <f t="shared" si="1"/>
        <v>193000000</v>
      </c>
      <c r="L21" s="48">
        <f t="shared" si="6"/>
        <v>1.0803851321092701</v>
      </c>
      <c r="M21" s="49">
        <f t="shared" si="7"/>
        <v>-14360000</v>
      </c>
      <c r="O21" s="38">
        <v>2810000</v>
      </c>
      <c r="Q21" s="50">
        <f t="shared" si="8"/>
        <v>2810000</v>
      </c>
    </row>
    <row r="22" spans="1:17" x14ac:dyDescent="0.4">
      <c r="A22" s="37">
        <v>12</v>
      </c>
      <c r="B22" s="38">
        <f t="shared" si="9"/>
        <v>156000000</v>
      </c>
      <c r="C22" s="39">
        <f t="shared" si="2"/>
        <v>0.87326466636811462</v>
      </c>
      <c r="D22" s="40">
        <v>0</v>
      </c>
      <c r="E22" s="41"/>
      <c r="F22" s="42">
        <f t="shared" si="0"/>
        <v>156000000</v>
      </c>
      <c r="G22" s="43">
        <f t="shared" si="3"/>
        <v>0.87326466636811462</v>
      </c>
      <c r="H22" s="44">
        <f t="shared" si="4"/>
        <v>50000000</v>
      </c>
      <c r="I22" s="45">
        <f t="shared" si="10"/>
        <v>0</v>
      </c>
      <c r="J22" s="46">
        <f t="shared" si="5"/>
        <v>50000000</v>
      </c>
      <c r="K22" s="47">
        <f t="shared" si="1"/>
        <v>206000000</v>
      </c>
      <c r="L22" s="48">
        <f t="shared" si="6"/>
        <v>1.1531571876399462</v>
      </c>
      <c r="M22" s="49">
        <f t="shared" si="7"/>
        <v>-27360000</v>
      </c>
      <c r="O22" s="38">
        <v>800000</v>
      </c>
      <c r="Q22" s="50">
        <v>800000</v>
      </c>
    </row>
    <row r="23" spans="1:17" x14ac:dyDescent="0.4">
      <c r="E23" s="51"/>
      <c r="F23" s="51"/>
      <c r="M23" s="50"/>
    </row>
    <row r="24" spans="1:17" x14ac:dyDescent="0.4">
      <c r="E24" s="52"/>
    </row>
  </sheetData>
  <mergeCells count="3">
    <mergeCell ref="A1:M1"/>
    <mergeCell ref="F9:H9"/>
    <mergeCell ref="I9:L9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-0.249977111117893"/>
  </sheetPr>
  <dimension ref="B1:Q28"/>
  <sheetViews>
    <sheetView tabSelected="1" zoomScale="85" zoomScaleNormal="85" workbookViewId="0">
      <selection activeCell="S8" sqref="S8"/>
    </sheetView>
  </sheetViews>
  <sheetFormatPr defaultColWidth="9" defaultRowHeight="13.2" x14ac:dyDescent="0.4"/>
  <cols>
    <col min="1" max="1" width="1.69921875" style="8" bestFit="1" customWidth="1"/>
    <col min="2" max="2" width="4.19921875" style="53" customWidth="1"/>
    <col min="3" max="3" width="10.19921875" style="8" bestFit="1" customWidth="1"/>
    <col min="4" max="4" width="11" style="8" bestFit="1" customWidth="1"/>
    <col min="5" max="5" width="11.59765625" style="8" bestFit="1" customWidth="1"/>
    <col min="6" max="6" width="10.59765625" style="8" customWidth="1"/>
    <col min="7" max="7" width="10.5" style="8" bestFit="1" customWidth="1"/>
    <col min="8" max="8" width="9" style="8" bestFit="1" customWidth="1"/>
    <col min="9" max="9" width="9.19921875" style="8" customWidth="1"/>
    <col min="10" max="10" width="9.69921875" style="8" bestFit="1" customWidth="1"/>
    <col min="11" max="11" width="11.19921875" style="8" bestFit="1" customWidth="1"/>
    <col min="12" max="12" width="12.19921875" style="8" bestFit="1" customWidth="1"/>
    <col min="13" max="13" width="12.8984375" style="8" customWidth="1"/>
    <col min="14" max="14" width="11.3984375" style="8" customWidth="1"/>
    <col min="15" max="15" width="8.19921875" style="8" bestFit="1" customWidth="1"/>
    <col min="16" max="16" width="10.19921875" style="8" bestFit="1" customWidth="1"/>
    <col min="17" max="17" width="9.19921875" style="8" bestFit="1" customWidth="1"/>
    <col min="18" max="16384" width="9" style="8"/>
  </cols>
  <sheetData>
    <row r="1" spans="2:17" ht="13.8" thickBot="1" x14ac:dyDescent="0.45"/>
    <row r="2" spans="2:17" ht="33.6" thickBot="1" x14ac:dyDescent="0.45">
      <c r="B2" s="98" t="s">
        <v>65</v>
      </c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100"/>
      <c r="Q2" s="1"/>
    </row>
    <row r="4" spans="2:17" x14ac:dyDescent="0.4">
      <c r="K4" s="54">
        <f>ROUNDUP(PMT(I6/12,H6,-G6),-2)</f>
        <v>17430000</v>
      </c>
    </row>
    <row r="5" spans="2:17" ht="21.75" customHeight="1" x14ac:dyDescent="0.4">
      <c r="B5" s="55" t="s">
        <v>27</v>
      </c>
      <c r="C5" s="56" t="s">
        <v>28</v>
      </c>
      <c r="D5" s="56" t="s">
        <v>29</v>
      </c>
      <c r="E5" s="56" t="s">
        <v>30</v>
      </c>
      <c r="F5" s="56" t="s">
        <v>31</v>
      </c>
      <c r="G5" s="56" t="s">
        <v>32</v>
      </c>
      <c r="H5" s="56" t="s">
        <v>33</v>
      </c>
      <c r="I5" s="56" t="s">
        <v>34</v>
      </c>
      <c r="J5" s="56" t="s">
        <v>35</v>
      </c>
      <c r="K5" s="56" t="s">
        <v>36</v>
      </c>
      <c r="L5" s="56" t="s">
        <v>37</v>
      </c>
      <c r="M5" s="56" t="s">
        <v>1</v>
      </c>
      <c r="N5" s="56" t="s">
        <v>6</v>
      </c>
      <c r="O5" s="56" t="s">
        <v>38</v>
      </c>
      <c r="P5" s="56" t="s">
        <v>39</v>
      </c>
    </row>
    <row r="6" spans="2:17" x14ac:dyDescent="0.4">
      <c r="B6" s="57" t="s">
        <v>40</v>
      </c>
      <c r="C6" s="57"/>
      <c r="D6" s="58" t="s">
        <v>63</v>
      </c>
      <c r="E6" s="59">
        <v>44660000</v>
      </c>
      <c r="F6" s="60">
        <v>4</v>
      </c>
      <c r="G6" s="60">
        <f>E6*F6</f>
        <v>178640000</v>
      </c>
      <c r="H6" s="57">
        <v>12</v>
      </c>
      <c r="I6" s="61">
        <v>0.30169127432896814</v>
      </c>
      <c r="J6" s="62">
        <f>L12</f>
        <v>0.3223340824220724</v>
      </c>
      <c r="K6" s="54">
        <v>13000000</v>
      </c>
      <c r="L6" s="63">
        <f>K6*H6+K14</f>
        <v>206000000</v>
      </c>
      <c r="M6" s="64">
        <f>L6/G6</f>
        <v>1.1531571876399462</v>
      </c>
      <c r="N6" s="61">
        <v>0.06</v>
      </c>
      <c r="O6" s="65">
        <v>0</v>
      </c>
      <c r="P6" s="64">
        <f>P27/G6</f>
        <v>0.10799052097994627</v>
      </c>
    </row>
    <row r="7" spans="2:17" x14ac:dyDescent="0.4">
      <c r="B7" s="66"/>
      <c r="C7" s="66"/>
      <c r="D7" s="67"/>
      <c r="E7" s="68"/>
      <c r="F7" s="69"/>
      <c r="G7" s="69"/>
      <c r="H7" s="66"/>
      <c r="I7" s="70"/>
      <c r="J7" s="70"/>
      <c r="K7" s="71"/>
      <c r="L7" s="71">
        <f>+L6*80%</f>
        <v>164800000</v>
      </c>
      <c r="M7" s="72"/>
      <c r="N7" s="70"/>
      <c r="O7" s="73"/>
      <c r="P7" s="74">
        <f>+P6/(H6/12)</f>
        <v>0.10799052097994627</v>
      </c>
    </row>
    <row r="8" spans="2:17" ht="26.4" x14ac:dyDescent="0.4">
      <c r="B8" s="66"/>
      <c r="C8" s="75" t="s">
        <v>41</v>
      </c>
      <c r="D8" s="76" t="s">
        <v>42</v>
      </c>
      <c r="E8" s="76" t="s">
        <v>43</v>
      </c>
      <c r="F8" s="77" t="s">
        <v>44</v>
      </c>
      <c r="G8" s="78" t="s">
        <v>45</v>
      </c>
      <c r="H8" s="79" t="s">
        <v>46</v>
      </c>
      <c r="I8" s="78" t="s">
        <v>47</v>
      </c>
      <c r="J8" s="78" t="s">
        <v>48</v>
      </c>
      <c r="K8" s="79" t="s">
        <v>49</v>
      </c>
      <c r="L8" s="80" t="s">
        <v>50</v>
      </c>
      <c r="M8" s="72"/>
      <c r="N8" s="70"/>
      <c r="O8" s="73"/>
      <c r="P8" s="74"/>
    </row>
    <row r="9" spans="2:17" x14ac:dyDescent="0.4">
      <c r="B9" s="66"/>
      <c r="C9" s="81"/>
      <c r="D9" s="82"/>
      <c r="E9" s="82"/>
      <c r="F9" s="83">
        <f>(G6*I9)/H6</f>
        <v>188564.44434519997</v>
      </c>
      <c r="G9" s="83">
        <f>(G6*J9)/H6</f>
        <v>0</v>
      </c>
      <c r="H9" s="84">
        <v>0.15</v>
      </c>
      <c r="I9" s="85">
        <f>0.1055555555%*H6</f>
        <v>1.2666666659999999E-2</v>
      </c>
      <c r="J9" s="85"/>
      <c r="K9" s="86">
        <f>L6*L9</f>
        <v>0</v>
      </c>
      <c r="L9" s="87"/>
      <c r="M9" s="72"/>
      <c r="N9" s="70"/>
      <c r="O9" s="73"/>
      <c r="P9" s="74"/>
    </row>
    <row r="10" spans="2:17" x14ac:dyDescent="0.4">
      <c r="I10" s="88"/>
      <c r="J10" s="89"/>
      <c r="K10" s="68">
        <f>+K9+K14</f>
        <v>50000000</v>
      </c>
      <c r="L10" s="90">
        <f>+L6-K10</f>
        <v>156000000</v>
      </c>
      <c r="M10" s="8" t="s">
        <v>51</v>
      </c>
      <c r="P10" s="88"/>
    </row>
    <row r="11" spans="2:17" x14ac:dyDescent="0.4">
      <c r="L11" s="91" t="s">
        <v>35</v>
      </c>
      <c r="N11" s="89"/>
    </row>
    <row r="12" spans="2:17" x14ac:dyDescent="0.4">
      <c r="B12" s="91" t="s">
        <v>52</v>
      </c>
      <c r="C12" s="91" t="s">
        <v>53</v>
      </c>
      <c r="D12" s="91" t="s">
        <v>32</v>
      </c>
      <c r="E12" s="92" t="s">
        <v>54</v>
      </c>
      <c r="F12" s="91" t="s">
        <v>55</v>
      </c>
      <c r="G12" s="93" t="s">
        <v>56</v>
      </c>
      <c r="H12" s="91" t="s">
        <v>57</v>
      </c>
      <c r="I12" s="91" t="s">
        <v>58</v>
      </c>
      <c r="J12" s="91" t="s">
        <v>38</v>
      </c>
      <c r="K12" s="91" t="s">
        <v>64</v>
      </c>
      <c r="L12" s="94">
        <f>IRR(L13:L26)*12</f>
        <v>0.3223340824220724</v>
      </c>
      <c r="M12" s="91" t="s">
        <v>59</v>
      </c>
      <c r="N12" s="91" t="s">
        <v>60</v>
      </c>
      <c r="O12" s="91" t="s">
        <v>61</v>
      </c>
      <c r="P12" s="91" t="s">
        <v>12</v>
      </c>
    </row>
    <row r="13" spans="2:17" x14ac:dyDescent="0.4">
      <c r="B13" s="57">
        <v>0</v>
      </c>
      <c r="C13" s="95"/>
      <c r="D13" s="96">
        <f>-G6</f>
        <v>-178640000</v>
      </c>
      <c r="E13" s="95"/>
      <c r="F13" s="97"/>
      <c r="G13" s="95"/>
      <c r="H13" s="95"/>
      <c r="I13" s="95"/>
      <c r="J13" s="95"/>
      <c r="L13" s="95">
        <f>SUM(C13:K13)</f>
        <v>-178640000</v>
      </c>
      <c r="M13" s="95"/>
      <c r="N13" s="95">
        <f>G6</f>
        <v>178640000</v>
      </c>
      <c r="O13" s="95"/>
      <c r="P13" s="95"/>
    </row>
    <row r="14" spans="2:17" x14ac:dyDescent="0.4">
      <c r="B14" s="57">
        <v>1</v>
      </c>
      <c r="C14" s="95">
        <f>K6</f>
        <v>13000000</v>
      </c>
      <c r="D14" s="95"/>
      <c r="E14" s="95">
        <f>-E9*F6</f>
        <v>0</v>
      </c>
      <c r="F14" s="95"/>
      <c r="G14" s="95">
        <f>-F9</f>
        <v>-188564.44434519997</v>
      </c>
      <c r="H14" s="95">
        <f>-G9</f>
        <v>0</v>
      </c>
      <c r="I14" s="95"/>
      <c r="J14" s="95"/>
      <c r="K14" s="95">
        <v>50000000</v>
      </c>
      <c r="L14" s="95">
        <f>SUM(C14:K14)</f>
        <v>62811435.555654801</v>
      </c>
      <c r="M14" s="95">
        <f>(G6-J26)/H6</f>
        <v>14886666.666666666</v>
      </c>
      <c r="N14" s="95">
        <f t="shared" ref="N14:N25" si="0">N13-M14</f>
        <v>163753333.33333334</v>
      </c>
      <c r="O14" s="95">
        <f>(N13*$N$6)/12</f>
        <v>893200</v>
      </c>
      <c r="P14" s="95">
        <f t="shared" ref="P14:P26" si="1">L14-M14-O14</f>
        <v>47031568.888988137</v>
      </c>
    </row>
    <row r="15" spans="2:17" x14ac:dyDescent="0.4">
      <c r="B15" s="57">
        <v>2</v>
      </c>
      <c r="C15" s="95">
        <f t="shared" ref="C15:C25" si="2">C14</f>
        <v>13000000</v>
      </c>
      <c r="D15" s="95"/>
      <c r="E15" s="95" t="s">
        <v>62</v>
      </c>
      <c r="F15" s="95"/>
      <c r="G15" s="95">
        <f>G14</f>
        <v>-188564.44434519997</v>
      </c>
      <c r="H15" s="95">
        <f>H14</f>
        <v>0</v>
      </c>
      <c r="I15" s="95"/>
      <c r="J15" s="95"/>
      <c r="K15" s="95"/>
      <c r="L15" s="95">
        <f t="shared" ref="L15:L25" si="3">SUM(C15:K15)</f>
        <v>12811435.5556548</v>
      </c>
      <c r="M15" s="95">
        <f t="shared" ref="M15:M25" si="4">M14</f>
        <v>14886666.666666666</v>
      </c>
      <c r="N15" s="95">
        <f t="shared" si="0"/>
        <v>148866666.66666669</v>
      </c>
      <c r="O15" s="95">
        <f t="shared" ref="O15:O25" si="5">(N14*$N$6)/12</f>
        <v>818766.66666666663</v>
      </c>
      <c r="P15" s="95">
        <f t="shared" si="1"/>
        <v>-2893997.777678533</v>
      </c>
    </row>
    <row r="16" spans="2:17" x14ac:dyDescent="0.4">
      <c r="B16" s="57">
        <v>3</v>
      </c>
      <c r="C16" s="95">
        <f t="shared" si="2"/>
        <v>13000000</v>
      </c>
      <c r="D16" s="95"/>
      <c r="E16" s="95"/>
      <c r="F16" s="95"/>
      <c r="G16" s="95">
        <f t="shared" ref="G16:H25" si="6">G15</f>
        <v>-188564.44434519997</v>
      </c>
      <c r="H16" s="95">
        <f t="shared" si="6"/>
        <v>0</v>
      </c>
      <c r="I16" s="95"/>
      <c r="J16" s="95"/>
      <c r="K16" s="95"/>
      <c r="L16" s="95">
        <f t="shared" si="3"/>
        <v>12811435.5556548</v>
      </c>
      <c r="M16" s="95">
        <f t="shared" si="4"/>
        <v>14886666.666666666</v>
      </c>
      <c r="N16" s="95">
        <f t="shared" si="0"/>
        <v>133980000.00000001</v>
      </c>
      <c r="O16" s="95">
        <f t="shared" si="5"/>
        <v>744333.33333333337</v>
      </c>
      <c r="P16" s="95">
        <f t="shared" si="1"/>
        <v>-2819564.4443452</v>
      </c>
    </row>
    <row r="17" spans="2:16" x14ac:dyDescent="0.4">
      <c r="B17" s="57">
        <v>4</v>
      </c>
      <c r="C17" s="95">
        <f t="shared" si="2"/>
        <v>13000000</v>
      </c>
      <c r="D17" s="95"/>
      <c r="E17" s="95"/>
      <c r="F17" s="95"/>
      <c r="G17" s="95">
        <f t="shared" si="6"/>
        <v>-188564.44434519997</v>
      </c>
      <c r="H17" s="95">
        <f t="shared" si="6"/>
        <v>0</v>
      </c>
      <c r="I17" s="95"/>
      <c r="J17" s="95"/>
      <c r="K17" s="95"/>
      <c r="L17" s="95">
        <f t="shared" si="3"/>
        <v>12811435.5556548</v>
      </c>
      <c r="M17" s="95">
        <f t="shared" si="4"/>
        <v>14886666.666666666</v>
      </c>
      <c r="N17" s="95">
        <f t="shared" si="0"/>
        <v>119093333.33333334</v>
      </c>
      <c r="O17" s="95">
        <f t="shared" si="5"/>
        <v>669900.00000000012</v>
      </c>
      <c r="P17" s="95">
        <f t="shared" si="1"/>
        <v>-2745131.1110118665</v>
      </c>
    </row>
    <row r="18" spans="2:16" x14ac:dyDescent="0.4">
      <c r="B18" s="57">
        <v>5</v>
      </c>
      <c r="C18" s="95">
        <f t="shared" si="2"/>
        <v>13000000</v>
      </c>
      <c r="D18" s="95"/>
      <c r="E18" s="95"/>
      <c r="F18" s="95"/>
      <c r="G18" s="95">
        <f t="shared" si="6"/>
        <v>-188564.44434519997</v>
      </c>
      <c r="H18" s="95">
        <f t="shared" si="6"/>
        <v>0</v>
      </c>
      <c r="I18" s="95"/>
      <c r="J18" s="95"/>
      <c r="K18" s="95"/>
      <c r="L18" s="95">
        <f t="shared" si="3"/>
        <v>12811435.5556548</v>
      </c>
      <c r="M18" s="95">
        <f t="shared" si="4"/>
        <v>14886666.666666666</v>
      </c>
      <c r="N18" s="95">
        <f t="shared" si="0"/>
        <v>104206666.66666667</v>
      </c>
      <c r="O18" s="95">
        <f t="shared" si="5"/>
        <v>595466.66666666663</v>
      </c>
      <c r="P18" s="95">
        <f t="shared" si="1"/>
        <v>-2670697.777678533</v>
      </c>
    </row>
    <row r="19" spans="2:16" x14ac:dyDescent="0.4">
      <c r="B19" s="57">
        <v>6</v>
      </c>
      <c r="C19" s="95">
        <f t="shared" si="2"/>
        <v>13000000</v>
      </c>
      <c r="D19" s="95"/>
      <c r="E19" s="95"/>
      <c r="F19" s="95"/>
      <c r="G19" s="95">
        <f t="shared" si="6"/>
        <v>-188564.44434519997</v>
      </c>
      <c r="H19" s="95">
        <f t="shared" si="6"/>
        <v>0</v>
      </c>
      <c r="I19" s="95"/>
      <c r="J19" s="95"/>
      <c r="K19" s="95"/>
      <c r="L19" s="95">
        <f t="shared" si="3"/>
        <v>12811435.5556548</v>
      </c>
      <c r="M19" s="95">
        <f t="shared" si="4"/>
        <v>14886666.666666666</v>
      </c>
      <c r="N19" s="95">
        <f t="shared" si="0"/>
        <v>89320000</v>
      </c>
      <c r="O19" s="95">
        <f t="shared" si="5"/>
        <v>521033.33333333331</v>
      </c>
      <c r="P19" s="95">
        <f t="shared" si="1"/>
        <v>-2596264.4443452</v>
      </c>
    </row>
    <row r="20" spans="2:16" x14ac:dyDescent="0.4">
      <c r="B20" s="57">
        <v>7</v>
      </c>
      <c r="C20" s="95">
        <f t="shared" si="2"/>
        <v>13000000</v>
      </c>
      <c r="D20" s="95"/>
      <c r="E20" s="95"/>
      <c r="F20" s="95"/>
      <c r="G20" s="95">
        <f t="shared" si="6"/>
        <v>-188564.44434519997</v>
      </c>
      <c r="H20" s="95">
        <f t="shared" si="6"/>
        <v>0</v>
      </c>
      <c r="I20" s="95"/>
      <c r="J20" s="95"/>
      <c r="K20" s="95"/>
      <c r="L20" s="95">
        <f t="shared" si="3"/>
        <v>12811435.5556548</v>
      </c>
      <c r="M20" s="95">
        <f t="shared" si="4"/>
        <v>14886666.666666666</v>
      </c>
      <c r="N20" s="95">
        <f t="shared" si="0"/>
        <v>74433333.333333328</v>
      </c>
      <c r="O20" s="95">
        <f t="shared" si="5"/>
        <v>446600</v>
      </c>
      <c r="P20" s="95">
        <f t="shared" si="1"/>
        <v>-2521831.1110118665</v>
      </c>
    </row>
    <row r="21" spans="2:16" x14ac:dyDescent="0.4">
      <c r="B21" s="57">
        <v>8</v>
      </c>
      <c r="C21" s="95">
        <f t="shared" si="2"/>
        <v>13000000</v>
      </c>
      <c r="D21" s="95"/>
      <c r="E21" s="95"/>
      <c r="F21" s="95"/>
      <c r="G21" s="95">
        <f t="shared" si="6"/>
        <v>-188564.44434519997</v>
      </c>
      <c r="H21" s="95">
        <f t="shared" si="6"/>
        <v>0</v>
      </c>
      <c r="I21" s="95"/>
      <c r="J21" s="95"/>
      <c r="K21" s="95"/>
      <c r="L21" s="95">
        <f t="shared" si="3"/>
        <v>12811435.5556548</v>
      </c>
      <c r="M21" s="95">
        <f t="shared" si="4"/>
        <v>14886666.666666666</v>
      </c>
      <c r="N21" s="95">
        <f t="shared" si="0"/>
        <v>59546666.666666664</v>
      </c>
      <c r="O21" s="95">
        <f t="shared" si="5"/>
        <v>372166.66666666669</v>
      </c>
      <c r="P21" s="95">
        <f t="shared" si="1"/>
        <v>-2447397.777678533</v>
      </c>
    </row>
    <row r="22" spans="2:16" x14ac:dyDescent="0.4">
      <c r="B22" s="57">
        <v>21</v>
      </c>
      <c r="C22" s="95">
        <f t="shared" si="2"/>
        <v>13000000</v>
      </c>
      <c r="D22" s="95"/>
      <c r="E22" s="95"/>
      <c r="F22" s="95"/>
      <c r="G22" s="95">
        <f t="shared" si="6"/>
        <v>-188564.44434519997</v>
      </c>
      <c r="H22" s="95">
        <f t="shared" si="6"/>
        <v>0</v>
      </c>
      <c r="I22" s="95"/>
      <c r="J22" s="95"/>
      <c r="K22" s="95"/>
      <c r="L22" s="95">
        <f t="shared" si="3"/>
        <v>12811435.5556548</v>
      </c>
      <c r="M22" s="95">
        <f t="shared" si="4"/>
        <v>14886666.666666666</v>
      </c>
      <c r="N22" s="95">
        <f t="shared" si="0"/>
        <v>44660000</v>
      </c>
      <c r="O22" s="95">
        <f t="shared" si="5"/>
        <v>297733.33333333331</v>
      </c>
      <c r="P22" s="95">
        <f t="shared" si="1"/>
        <v>-2372964.4443452</v>
      </c>
    </row>
    <row r="23" spans="2:16" x14ac:dyDescent="0.4">
      <c r="B23" s="57">
        <v>22</v>
      </c>
      <c r="C23" s="95">
        <f t="shared" si="2"/>
        <v>13000000</v>
      </c>
      <c r="D23" s="95"/>
      <c r="E23" s="95"/>
      <c r="F23" s="95"/>
      <c r="G23" s="95">
        <f t="shared" si="6"/>
        <v>-188564.44434519997</v>
      </c>
      <c r="H23" s="95">
        <f t="shared" si="6"/>
        <v>0</v>
      </c>
      <c r="I23" s="95"/>
      <c r="J23" s="95"/>
      <c r="K23" s="95"/>
      <c r="L23" s="95">
        <f t="shared" si="3"/>
        <v>12811435.5556548</v>
      </c>
      <c r="M23" s="95">
        <f t="shared" si="4"/>
        <v>14886666.666666666</v>
      </c>
      <c r="N23" s="95">
        <f t="shared" si="0"/>
        <v>29773333.333333336</v>
      </c>
      <c r="O23" s="95">
        <f t="shared" si="5"/>
        <v>223300</v>
      </c>
      <c r="P23" s="95">
        <f t="shared" si="1"/>
        <v>-2298531.1110118665</v>
      </c>
    </row>
    <row r="24" spans="2:16" x14ac:dyDescent="0.4">
      <c r="B24" s="57">
        <v>23</v>
      </c>
      <c r="C24" s="95">
        <f t="shared" si="2"/>
        <v>13000000</v>
      </c>
      <c r="D24" s="95"/>
      <c r="E24" s="95"/>
      <c r="F24" s="95"/>
      <c r="G24" s="95">
        <f t="shared" si="6"/>
        <v>-188564.44434519997</v>
      </c>
      <c r="H24" s="95">
        <f t="shared" si="6"/>
        <v>0</v>
      </c>
      <c r="I24" s="95"/>
      <c r="J24" s="95"/>
      <c r="K24" s="95"/>
      <c r="L24" s="95">
        <f t="shared" si="3"/>
        <v>12811435.5556548</v>
      </c>
      <c r="M24" s="95">
        <f t="shared" si="4"/>
        <v>14886666.666666666</v>
      </c>
      <c r="N24" s="95">
        <f t="shared" si="0"/>
        <v>14886666.66666667</v>
      </c>
      <c r="O24" s="95">
        <f t="shared" si="5"/>
        <v>148866.66666666666</v>
      </c>
      <c r="P24" s="95">
        <f t="shared" si="1"/>
        <v>-2224097.777678533</v>
      </c>
    </row>
    <row r="25" spans="2:16" x14ac:dyDescent="0.4">
      <c r="B25" s="57">
        <v>24</v>
      </c>
      <c r="C25" s="95">
        <f t="shared" si="2"/>
        <v>13000000</v>
      </c>
      <c r="D25" s="95"/>
      <c r="E25" s="95"/>
      <c r="F25" s="95"/>
      <c r="G25" s="95">
        <f t="shared" si="6"/>
        <v>-188564.44434519997</v>
      </c>
      <c r="H25" s="95">
        <f t="shared" si="6"/>
        <v>0</v>
      </c>
      <c r="I25" s="95"/>
      <c r="J25" s="95"/>
      <c r="K25" s="68"/>
      <c r="L25" s="95">
        <f t="shared" si="3"/>
        <v>12811435.5556548</v>
      </c>
      <c r="M25" s="95">
        <f t="shared" si="4"/>
        <v>14886666.666666666</v>
      </c>
      <c r="N25" s="95">
        <f t="shared" si="0"/>
        <v>0</v>
      </c>
      <c r="O25" s="95">
        <f t="shared" si="5"/>
        <v>74433.333333333343</v>
      </c>
      <c r="P25" s="95">
        <f t="shared" si="1"/>
        <v>-2149664.4443452</v>
      </c>
    </row>
    <row r="26" spans="2:16" x14ac:dyDescent="0.4">
      <c r="B26" s="57">
        <v>25</v>
      </c>
      <c r="C26" s="95"/>
      <c r="D26" s="95"/>
      <c r="E26" s="95"/>
      <c r="F26" s="95"/>
      <c r="G26" s="95"/>
      <c r="H26" s="95"/>
      <c r="I26" s="95"/>
      <c r="J26" s="95"/>
      <c r="K26" s="95"/>
      <c r="L26" s="95">
        <f>SUM(C26:K26)</f>
        <v>0</v>
      </c>
      <c r="M26" s="95"/>
      <c r="N26" s="95"/>
      <c r="O26" s="95"/>
      <c r="P26" s="95">
        <f t="shared" si="1"/>
        <v>0</v>
      </c>
    </row>
    <row r="27" spans="2:16" x14ac:dyDescent="0.4">
      <c r="B27" s="57"/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95"/>
      <c r="N27" s="95"/>
      <c r="O27" s="95"/>
      <c r="P27" s="95">
        <f>SUM(P14:P26)</f>
        <v>19291426.667857602</v>
      </c>
    </row>
    <row r="28" spans="2:16" x14ac:dyDescent="0.4">
      <c r="H28" s="68"/>
      <c r="J28" s="89"/>
    </row>
  </sheetData>
  <dataConsolidate/>
  <mergeCells count="1">
    <mergeCell ref="B2:P2"/>
  </mergeCells>
  <phoneticPr fontId="3" type="noConversion"/>
  <pageMargins left="0.7" right="0.7" top="0.75" bottom="0.75" header="0.3" footer="0.3"/>
  <pageSetup paperSize="9" orientation="portrait" horizontalDpi="300" verticalDpi="300" r:id="rId1"/>
  <legacyDrawing r:id="rId2"/>
</worksheet>
</file>

<file path=docMetadata/LabelInfo.xml><?xml version="1.0" encoding="utf-8"?>
<clbl:labelList xmlns:clbl="http://schemas.microsoft.com/office/2020/mipLabelMetadata">
  <clbl:label id="{defa4170-0d19-0005-0001-bc88714345d2}" enabled="1" method="Privileged" siteId="{9de224f7-2255-447c-8a4f-9bdad61a41a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체크_시공테크 12개월</vt:lpstr>
      <vt:lpstr>시공테크 12개월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권종훈</cp:lastModifiedBy>
  <cp:revision/>
  <dcterms:created xsi:type="dcterms:W3CDTF">2025-07-04T01:34:43Z</dcterms:created>
  <dcterms:modified xsi:type="dcterms:W3CDTF">2026-06-10T07:14:31Z</dcterms:modified>
  <cp:category/>
  <cp:contentStatus/>
</cp:coreProperties>
</file>