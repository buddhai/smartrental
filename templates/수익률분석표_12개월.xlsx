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1" activeTab="1" autoFilterDateGrouping="1"/>
  </bookViews>
  <sheets>
    <sheet name="체크_12개월" sheetId="1" state="visible" r:id="rId1"/>
    <sheet name="수익률_12개월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4">
    <numFmt numFmtId="164" formatCode="_-* #,##0_-;\-* #,##0_-;_-* &quot;-&quot;_-;_-@_-"/>
    <numFmt numFmtId="165" formatCode="_-* #,##0.00_-;\-* #,##0.00_-;_-* &quot;-&quot;??_-;_-@_-"/>
    <numFmt numFmtId="166" formatCode="&quot;₩&quot;#,##0_);[Red]\(&quot;₩&quot;#,##0\)"/>
    <numFmt numFmtId="167" formatCode="0.0%"/>
  </numFmts>
  <fonts count="17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22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2"/>
      <b val="1"/>
      <color theme="1"/>
      <sz val="9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3"/>
      <b val="1"/>
      <color theme="1"/>
      <sz val="9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rgb="FFFF0000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theme="1"/>
      <sz val="22"/>
      <scheme val="minor"/>
    </font>
    <font>
      <name val="맑은 고딕"/>
      <charset val="129"/>
      <family val="2"/>
      <b val="1"/>
      <color theme="0"/>
      <sz val="9"/>
      <scheme val="minor"/>
    </font>
    <font>
      <name val="돋움"/>
      <charset val="129"/>
      <family val="3"/>
      <color indexed="81"/>
      <sz val="9"/>
    </font>
    <font>
      <name val="Tahoma"/>
      <family val="2"/>
      <color indexed="81"/>
      <sz val="9"/>
    </font>
  </fonts>
  <fills count="10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rgb="FFFF0000"/>
      </right>
      <top/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/>
      <bottom style="thin">
        <color indexed="64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/>
      <right style="thin"/>
      <top style="thin"/>
      <bottom style="thin"/>
    </border>
  </borders>
  <cellStyleXfs count="3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</cellStyleXfs>
  <cellXfs count="162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164" fontId="5" fillId="0" borderId="0" applyAlignment="1" pivotButton="0" quotePrefix="0" xfId="1">
      <alignment vertical="center"/>
    </xf>
    <xf numFmtId="0" fontId="6" fillId="2" borderId="2" applyAlignment="1" pivotButton="0" quotePrefix="0" xfId="0">
      <alignment horizontal="center" vertical="center"/>
    </xf>
    <xf numFmtId="164" fontId="7" fillId="0" borderId="3" applyAlignment="1" pivotButton="0" quotePrefix="0" xfId="1">
      <alignment vertical="center"/>
    </xf>
    <xf numFmtId="164" fontId="7" fillId="0" borderId="0" applyAlignment="1" pivotButton="0" quotePrefix="0" xfId="1">
      <alignment vertical="center"/>
    </xf>
    <xf numFmtId="10" fontId="7" fillId="0" borderId="3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9" fillId="2" borderId="2" applyAlignment="1" pivotButton="0" quotePrefix="0" xfId="0">
      <alignment horizontal="center" vertical="center"/>
    </xf>
    <xf numFmtId="9" fontId="7" fillId="0" borderId="3" applyAlignment="1" pivotButton="0" quotePrefix="0" xfId="0">
      <alignment vertical="center"/>
    </xf>
    <xf numFmtId="0" fontId="9" fillId="2" borderId="4" applyAlignment="1" pivotButton="0" quotePrefix="0" xfId="0">
      <alignment horizontal="center" vertical="center"/>
    </xf>
    <xf numFmtId="164" fontId="7" fillId="0" borderId="5" applyAlignment="1" pivotButton="0" quotePrefix="0" xfId="1">
      <alignment vertical="center"/>
    </xf>
    <xf numFmtId="165" fontId="7" fillId="0" borderId="0" applyAlignment="1" pivotButton="0" quotePrefix="0" xfId="0">
      <alignment vertical="center"/>
    </xf>
    <xf numFmtId="164" fontId="9" fillId="2" borderId="4" applyAlignment="1" pivotButton="0" quotePrefix="0" xfId="0">
      <alignment horizontal="center" vertical="center"/>
    </xf>
    <xf numFmtId="164" fontId="7" fillId="0" borderId="5" applyAlignment="1" pivotButton="0" quotePrefix="0" xfId="0">
      <alignment vertical="center"/>
    </xf>
    <xf numFmtId="10" fontId="7" fillId="0" borderId="5" applyAlignment="1" pivotButton="0" quotePrefix="0" xfId="1">
      <alignment vertical="center"/>
    </xf>
    <xf numFmtId="164" fontId="7" fillId="0" borderId="0" applyAlignment="1" pivotButton="0" quotePrefix="0" xfId="1">
      <alignment vertical="center"/>
    </xf>
    <xf numFmtId="10" fontId="7" fillId="0" borderId="5" applyAlignment="1" pivotButton="0" quotePrefix="0" xfId="0">
      <alignment vertical="center"/>
    </xf>
    <xf numFmtId="0" fontId="9" fillId="2" borderId="6" applyAlignment="1" pivotButton="0" quotePrefix="0" xfId="0">
      <alignment horizontal="center" vertical="center"/>
    </xf>
    <xf numFmtId="164" fontId="7" fillId="0" borderId="7" applyAlignment="1" pivotButton="0" quotePrefix="0" xfId="1">
      <alignment horizontal="center" vertical="center"/>
    </xf>
    <xf numFmtId="10" fontId="7" fillId="0" borderId="7" applyAlignment="1" pivotButton="0" quotePrefix="0" xfId="2">
      <alignment vertical="center"/>
    </xf>
    <xf numFmtId="10" fontId="7" fillId="0" borderId="0" applyAlignment="1" pivotButton="0" quotePrefix="0" xfId="2">
      <alignment vertical="center"/>
    </xf>
    <xf numFmtId="164" fontId="7" fillId="0" borderId="7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164" fontId="7" fillId="0" borderId="0" applyAlignment="1" pivotButton="0" quotePrefix="0" xfId="0">
      <alignment vertical="center"/>
    </xf>
    <xf numFmtId="0" fontId="12" fillId="4" borderId="14" applyAlignment="1" pivotButton="0" quotePrefix="0" xfId="0">
      <alignment horizontal="center" vertical="center"/>
    </xf>
    <xf numFmtId="164" fontId="12" fillId="4" borderId="15" applyAlignment="1" pivotButton="0" quotePrefix="0" xfId="1">
      <alignment horizontal="center" vertical="center" wrapText="1"/>
    </xf>
    <xf numFmtId="164" fontId="12" fillId="4" borderId="16" applyAlignment="1" pivotButton="0" quotePrefix="0" xfId="1">
      <alignment horizontal="center" vertical="center" wrapText="1"/>
    </xf>
    <xf numFmtId="0" fontId="12" fillId="4" borderId="17" applyAlignment="1" pivotButton="0" quotePrefix="0" xfId="0">
      <alignment horizontal="center" vertical="center" wrapText="1"/>
    </xf>
    <xf numFmtId="0" fontId="12" fillId="4" borderId="15" applyAlignment="1" pivotButton="0" quotePrefix="0" xfId="0">
      <alignment horizontal="center" vertical="center" wrapText="1"/>
    </xf>
    <xf numFmtId="0" fontId="12" fillId="4" borderId="18" applyAlignment="1" pivotButton="0" quotePrefix="0" xfId="0">
      <alignment horizontal="center" vertical="center" wrapText="1"/>
    </xf>
    <xf numFmtId="0" fontId="12" fillId="4" borderId="19" applyAlignment="1" pivotButton="0" quotePrefix="0" xfId="0">
      <alignment horizontal="center" vertical="center" wrapText="1"/>
    </xf>
    <xf numFmtId="0" fontId="12" fillId="4" borderId="14" applyAlignment="1" pivotButton="0" quotePrefix="0" xfId="0">
      <alignment horizontal="center" vertical="center" wrapText="1"/>
    </xf>
    <xf numFmtId="0" fontId="12" fillId="4" borderId="16" applyAlignment="1" pivotButton="0" quotePrefix="0" xfId="0">
      <alignment horizontal="center" vertical="center" wrapText="1"/>
    </xf>
    <xf numFmtId="0" fontId="12" fillId="4" borderId="20" applyAlignment="1" pivotButton="0" quotePrefix="0" xfId="0">
      <alignment horizontal="center" vertical="center" wrapText="1"/>
    </xf>
    <xf numFmtId="0" fontId="12" fillId="4" borderId="21" applyAlignment="1" pivotButton="0" quotePrefix="0" xfId="0">
      <alignment horizontal="center" vertical="center" wrapText="1"/>
    </xf>
    <xf numFmtId="0" fontId="7" fillId="0" borderId="14" applyAlignment="1" pivotButton="0" quotePrefix="0" xfId="0">
      <alignment horizontal="center" vertical="center"/>
    </xf>
    <xf numFmtId="164" fontId="7" fillId="0" borderId="22" applyAlignment="1" pivotButton="0" quotePrefix="0" xfId="1">
      <alignment horizontal="center" vertical="center"/>
    </xf>
    <xf numFmtId="10" fontId="7" fillId="5" borderId="23" applyAlignment="1" pivotButton="0" quotePrefix="0" xfId="2">
      <alignment horizontal="center" vertical="center"/>
    </xf>
    <xf numFmtId="10" fontId="7" fillId="3" borderId="22" applyAlignment="1" pivotButton="0" quotePrefix="0" xfId="2">
      <alignment horizontal="center" vertical="center"/>
    </xf>
    <xf numFmtId="164" fontId="9" fillId="6" borderId="24" applyAlignment="1" pivotButton="0" quotePrefix="0" xfId="1">
      <alignment horizontal="center" vertical="center"/>
    </xf>
    <xf numFmtId="164" fontId="7" fillId="0" borderId="18" applyAlignment="1" pivotButton="0" quotePrefix="0" xfId="1">
      <alignment horizontal="center" vertical="center"/>
    </xf>
    <xf numFmtId="10" fontId="7" fillId="5" borderId="19" applyAlignment="1" pivotButton="0" quotePrefix="0" xfId="2">
      <alignment horizontal="center" vertical="center"/>
    </xf>
    <xf numFmtId="164" fontId="7" fillId="0" borderId="14" applyAlignment="1" pivotButton="0" quotePrefix="0" xfId="1">
      <alignment horizontal="center" vertical="center"/>
    </xf>
    <xf numFmtId="164" fontId="7" fillId="7" borderId="23" applyAlignment="1" pivotButton="0" quotePrefix="0" xfId="1">
      <alignment horizontal="center" vertical="center"/>
    </xf>
    <xf numFmtId="164" fontId="7" fillId="7" borderId="17" applyAlignment="1" pivotButton="0" quotePrefix="0" xfId="1">
      <alignment horizontal="center" vertical="center"/>
    </xf>
    <xf numFmtId="164" fontId="7" fillId="0" borderId="25" applyAlignment="1" pivotButton="0" quotePrefix="0" xfId="1">
      <alignment horizontal="center" vertical="center"/>
    </xf>
    <xf numFmtId="10" fontId="7" fillId="0" borderId="18" applyAlignment="1" pivotButton="0" quotePrefix="0" xfId="2">
      <alignment horizontal="center" vertical="center"/>
    </xf>
    <xf numFmtId="38" fontId="7" fillId="7" borderId="19" applyAlignment="1" pivotButton="0" quotePrefix="0" xfId="2">
      <alignment horizontal="center" vertical="center"/>
    </xf>
    <xf numFmtId="164" fontId="4" fillId="0" borderId="0" applyAlignment="1" pivotButton="0" quotePrefix="0" xfId="0">
      <alignment vertical="center"/>
    </xf>
    <xf numFmtId="164" fontId="4" fillId="0" borderId="0" applyAlignment="1" pivotButton="0" quotePrefix="0" xfId="1">
      <alignment vertical="center"/>
    </xf>
    <xf numFmtId="9" fontId="4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center"/>
    </xf>
    <xf numFmtId="166" fontId="9" fillId="7" borderId="19" applyAlignment="1" pivotButton="0" quotePrefix="0" xfId="0">
      <alignment horizontal="center" vertical="center"/>
    </xf>
    <xf numFmtId="0" fontId="14" fillId="4" borderId="19" applyAlignment="1" pivotButton="0" quotePrefix="0" xfId="0">
      <alignment horizontal="center" vertical="center"/>
    </xf>
    <xf numFmtId="0" fontId="12" fillId="4" borderId="19" applyAlignment="1" pivotButton="0" quotePrefix="0" xfId="0">
      <alignment horizontal="center" vertical="center"/>
    </xf>
    <xf numFmtId="0" fontId="7" fillId="0" borderId="19" applyAlignment="1" pivotButton="0" quotePrefix="0" xfId="0">
      <alignment horizontal="center" vertical="center"/>
    </xf>
    <xf numFmtId="0" fontId="7" fillId="0" borderId="19" applyAlignment="1" pivotButton="0" quotePrefix="0" xfId="0">
      <alignment horizontal="center" vertical="center" wrapText="1"/>
    </xf>
    <xf numFmtId="164" fontId="9" fillId="7" borderId="19" applyAlignment="1" pivotButton="0" quotePrefix="0" xfId="1">
      <alignment horizontal="center" vertical="center"/>
    </xf>
    <xf numFmtId="164" fontId="7" fillId="0" borderId="19" applyAlignment="1" pivotButton="0" quotePrefix="0" xfId="1">
      <alignment horizontal="center" vertical="center"/>
    </xf>
    <xf numFmtId="10" fontId="7" fillId="0" borderId="19" applyAlignment="1" pivotButton="0" quotePrefix="0" xfId="0">
      <alignment horizontal="center" vertical="center"/>
    </xf>
    <xf numFmtId="10" fontId="9" fillId="7" borderId="19" applyAlignment="1" pivotButton="0" quotePrefix="0" xfId="0">
      <alignment horizontal="center" vertical="center"/>
    </xf>
    <xf numFmtId="166" fontId="7" fillId="0" borderId="19" applyAlignment="1" pivotButton="0" quotePrefix="0" xfId="0">
      <alignment horizontal="center" vertical="center"/>
    </xf>
    <xf numFmtId="10" fontId="7" fillId="0" borderId="19" applyAlignment="1" pivotButton="0" quotePrefix="0" xfId="2">
      <alignment horizontal="center" vertical="center"/>
    </xf>
    <xf numFmtId="167" fontId="7" fillId="0" borderId="19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 wrapText="1"/>
    </xf>
    <xf numFmtId="166" fontId="8" fillId="0" borderId="0" applyAlignment="1" pivotButton="0" quotePrefix="0" xfId="0">
      <alignment vertical="center"/>
    </xf>
    <xf numFmtId="164" fontId="7" fillId="0" borderId="0" applyAlignment="1" pivotButton="0" quotePrefix="0" xfId="1">
      <alignment horizontal="center" vertical="center"/>
    </xf>
    <xf numFmtId="10" fontId="7" fillId="0" borderId="0" applyAlignment="1" pivotButton="0" quotePrefix="0" xfId="0">
      <alignment horizontal="center" vertical="center"/>
    </xf>
    <xf numFmtId="166" fontId="7" fillId="0" borderId="0" applyAlignment="1" pivotButton="0" quotePrefix="0" xfId="0">
      <alignment horizontal="center" vertical="center"/>
    </xf>
    <xf numFmtId="167" fontId="7" fillId="0" borderId="0" applyAlignment="1" pivotButton="0" quotePrefix="0" xfId="2">
      <alignment horizontal="center" vertical="center"/>
    </xf>
    <xf numFmtId="9" fontId="7" fillId="0" borderId="0" applyAlignment="1" pivotButton="0" quotePrefix="0" xfId="0">
      <alignment horizontal="center" vertical="center"/>
    </xf>
    <xf numFmtId="10" fontId="7" fillId="0" borderId="0" applyAlignment="1" pivotButton="0" quotePrefix="0" xfId="2">
      <alignment horizontal="center" vertical="center"/>
    </xf>
    <xf numFmtId="0" fontId="7" fillId="8" borderId="26" applyAlignment="1" pivotButton="0" quotePrefix="0" xfId="0">
      <alignment horizontal="center" vertical="center"/>
    </xf>
    <xf numFmtId="0" fontId="7" fillId="8" borderId="26" applyAlignment="1" pivotButton="0" quotePrefix="0" xfId="0">
      <alignment horizontal="center" vertical="center" wrapText="1"/>
    </xf>
    <xf numFmtId="166" fontId="8" fillId="8" borderId="26" applyAlignment="1" pivotButton="0" quotePrefix="0" xfId="0">
      <alignment horizontal="center" vertical="center"/>
    </xf>
    <xf numFmtId="164" fontId="7" fillId="8" borderId="26" applyAlignment="1" pivotButton="0" quotePrefix="0" xfId="1">
      <alignment horizontal="center" vertical="center"/>
    </xf>
    <xf numFmtId="164" fontId="7" fillId="8" borderId="26" applyAlignment="1" pivotButton="0" quotePrefix="0" xfId="1">
      <alignment horizontal="center" vertical="center" wrapText="1"/>
    </xf>
    <xf numFmtId="164" fontId="7" fillId="8" borderId="19" applyAlignment="1" pivotButton="0" quotePrefix="0" xfId="1">
      <alignment horizontal="center" vertical="center" wrapText="1"/>
    </xf>
    <xf numFmtId="164" fontId="7" fillId="9" borderId="19" applyAlignment="1" pivotButton="0" quotePrefix="0" xfId="1">
      <alignment horizontal="center" vertical="center"/>
    </xf>
    <xf numFmtId="164" fontId="7" fillId="9" borderId="19" applyAlignment="1" pivotButton="0" quotePrefix="0" xfId="1">
      <alignment horizontal="center" vertical="center" wrapText="1"/>
    </xf>
    <xf numFmtId="164" fontId="8" fillId="9" borderId="19" applyAlignment="1" pivotButton="0" quotePrefix="0" xfId="1">
      <alignment horizontal="center" vertical="center"/>
    </xf>
    <xf numFmtId="9" fontId="7" fillId="9" borderId="19" applyAlignment="1" pivotButton="0" quotePrefix="0" xfId="1">
      <alignment horizontal="center" vertical="center"/>
    </xf>
    <xf numFmtId="10" fontId="8" fillId="0" borderId="19" applyAlignment="1" pivotButton="0" quotePrefix="0" xfId="0">
      <alignment horizontal="center" vertical="center"/>
    </xf>
    <xf numFmtId="166" fontId="8" fillId="0" borderId="19" applyAlignment="1" pivotButton="0" quotePrefix="0" xfId="1">
      <alignment vertical="center"/>
    </xf>
    <xf numFmtId="9" fontId="7" fillId="0" borderId="19" applyAlignment="1" pivotButton="0" quotePrefix="0" xfId="2">
      <alignment horizontal="center" vertical="center"/>
    </xf>
    <xf numFmtId="10" fontId="8" fillId="0" borderId="0" applyAlignment="1" pivotButton="0" quotePrefix="0" xfId="2">
      <alignment vertical="center"/>
    </xf>
    <xf numFmtId="164" fontId="8" fillId="0" borderId="0" applyAlignment="1" pivotButton="0" quotePrefix="0" xfId="1">
      <alignment vertical="center"/>
    </xf>
    <xf numFmtId="166" fontId="7" fillId="7" borderId="0" applyAlignment="1" pivotButton="0" quotePrefix="0" xfId="0">
      <alignment vertical="center"/>
    </xf>
    <xf numFmtId="0" fontId="9" fillId="0" borderId="19" applyAlignment="1" pivotButton="0" quotePrefix="0" xfId="0">
      <alignment horizontal="center" vertical="center"/>
    </xf>
    <xf numFmtId="0" fontId="9" fillId="0" borderId="14" applyAlignment="1" pivotButton="0" quotePrefix="0" xfId="0">
      <alignment horizontal="center" vertical="center"/>
    </xf>
    <xf numFmtId="0" fontId="9" fillId="0" borderId="18" applyAlignment="1" pivotButton="0" quotePrefix="0" xfId="0">
      <alignment horizontal="center" vertical="center"/>
    </xf>
    <xf numFmtId="10" fontId="9" fillId="0" borderId="19" applyAlignment="1" pivotButton="0" quotePrefix="0" xfId="2">
      <alignment horizontal="center" vertical="center"/>
    </xf>
    <xf numFmtId="166" fontId="7" fillId="0" borderId="19" applyAlignment="1" pivotButton="0" quotePrefix="0" xfId="0">
      <alignment vertical="center"/>
    </xf>
    <xf numFmtId="166" fontId="7" fillId="0" borderId="0" applyAlignment="1" pivotButton="0" quotePrefix="0" xfId="0">
      <alignment vertical="center"/>
    </xf>
    <xf numFmtId="166" fontId="7" fillId="0" borderId="27" applyAlignment="1" pivotButton="0" quotePrefix="0" xfId="0">
      <alignment vertical="center"/>
    </xf>
    <xf numFmtId="0" fontId="13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3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/>
    </xf>
    <xf numFmtId="0" fontId="10" fillId="0" borderId="9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/>
    </xf>
    <xf numFmtId="0" fontId="11" fillId="3" borderId="11" applyAlignment="1" pivotButton="0" quotePrefix="0" xfId="0">
      <alignment horizontal="center" vertical="center"/>
    </xf>
    <xf numFmtId="0" fontId="11" fillId="3" borderId="12" applyAlignment="1" pivotButton="0" quotePrefix="0" xfId="0">
      <alignment horizontal="center" vertical="center"/>
    </xf>
    <xf numFmtId="0" fontId="11" fillId="3" borderId="13" applyAlignment="1" pivotButton="0" quotePrefix="0" xfId="0">
      <alignment horizontal="center" vertical="center"/>
    </xf>
    <xf numFmtId="164" fontId="5" fillId="0" borderId="0" applyAlignment="1" pivotButton="0" quotePrefix="0" xfId="1">
      <alignment vertical="center"/>
    </xf>
    <xf numFmtId="0" fontId="0" fillId="0" borderId="0" pivotButton="0" quotePrefix="0" xfId="0"/>
    <xf numFmtId="164" fontId="7" fillId="0" borderId="3" applyAlignment="1" pivotButton="0" quotePrefix="0" xfId="1">
      <alignment vertical="center"/>
    </xf>
    <xf numFmtId="164" fontId="7" fillId="0" borderId="0" applyAlignment="1" pivotButton="0" quotePrefix="0" xfId="1">
      <alignment vertical="center"/>
    </xf>
    <xf numFmtId="164" fontId="7" fillId="0" borderId="5" applyAlignment="1" pivotButton="0" quotePrefix="0" xfId="1">
      <alignment vertical="center"/>
    </xf>
    <xf numFmtId="165" fontId="7" fillId="0" borderId="0" applyAlignment="1" pivotButton="0" quotePrefix="0" xfId="0">
      <alignment vertical="center"/>
    </xf>
    <xf numFmtId="164" fontId="9" fillId="2" borderId="4" applyAlignment="1" pivotButton="0" quotePrefix="0" xfId="0">
      <alignment horizontal="center" vertical="center"/>
    </xf>
    <xf numFmtId="164" fontId="7" fillId="0" borderId="5" applyAlignment="1" pivotButton="0" quotePrefix="0" xfId="0">
      <alignment vertical="center"/>
    </xf>
    <xf numFmtId="164" fontId="7" fillId="0" borderId="7" applyAlignment="1" pivotButton="0" quotePrefix="0" xfId="1">
      <alignment horizontal="center" vertical="center"/>
    </xf>
    <xf numFmtId="164" fontId="7" fillId="0" borderId="7" applyAlignment="1" pivotButton="0" quotePrefix="0" xfId="0">
      <alignment vertical="center"/>
    </xf>
    <xf numFmtId="164" fontId="7" fillId="0" borderId="0" applyAlignment="1" pivotButton="0" quotePrefix="0" xfId="0">
      <alignment vertical="center"/>
    </xf>
    <xf numFmtId="0" fontId="10" fillId="0" borderId="28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11" fillId="3" borderId="31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164" fontId="12" fillId="4" borderId="15" applyAlignment="1" pivotButton="0" quotePrefix="0" xfId="1">
      <alignment horizontal="center" vertical="center" wrapText="1"/>
    </xf>
    <xf numFmtId="164" fontId="12" fillId="4" borderId="16" applyAlignment="1" pivotButton="0" quotePrefix="0" xfId="1">
      <alignment horizontal="center" vertical="center" wrapText="1"/>
    </xf>
    <xf numFmtId="164" fontId="7" fillId="0" borderId="22" applyAlignment="1" pivotButton="0" quotePrefix="0" xfId="1">
      <alignment horizontal="center" vertical="center"/>
    </xf>
    <xf numFmtId="164" fontId="9" fillId="6" borderId="24" applyAlignment="1" pivotButton="0" quotePrefix="0" xfId="1">
      <alignment horizontal="center" vertical="center"/>
    </xf>
    <xf numFmtId="164" fontId="7" fillId="0" borderId="18" applyAlignment="1" pivotButton="0" quotePrefix="0" xfId="1">
      <alignment horizontal="center" vertical="center"/>
    </xf>
    <xf numFmtId="164" fontId="7" fillId="0" borderId="14" applyAlignment="1" pivotButton="0" quotePrefix="0" xfId="1">
      <alignment horizontal="center" vertical="center"/>
    </xf>
    <xf numFmtId="164" fontId="7" fillId="7" borderId="23" applyAlignment="1" pivotButton="0" quotePrefix="0" xfId="1">
      <alignment horizontal="center" vertical="center"/>
    </xf>
    <xf numFmtId="164" fontId="7" fillId="7" borderId="17" applyAlignment="1" pivotButton="0" quotePrefix="0" xfId="1">
      <alignment horizontal="center" vertical="center"/>
    </xf>
    <xf numFmtId="164" fontId="7" fillId="0" borderId="25" applyAlignment="1" pivotButton="0" quotePrefix="0" xfId="1">
      <alignment horizontal="center" vertical="center"/>
    </xf>
    <xf numFmtId="164" fontId="4" fillId="0" borderId="0" applyAlignment="1" pivotButton="0" quotePrefix="0" xfId="0">
      <alignment vertical="center"/>
    </xf>
    <xf numFmtId="164" fontId="4" fillId="0" borderId="0" applyAlignment="1" pivotButton="0" quotePrefix="0" xfId="1">
      <alignment vertical="center"/>
    </xf>
    <xf numFmtId="0" fontId="13" fillId="0" borderId="31" applyAlignment="1" pivotButton="0" quotePrefix="0" xfId="0">
      <alignment horizontal="center" vertical="center"/>
    </xf>
    <xf numFmtId="166" fontId="9" fillId="7" borderId="19" applyAlignment="1" pivotButton="0" quotePrefix="0" xfId="0">
      <alignment horizontal="center" vertical="center"/>
    </xf>
    <xf numFmtId="164" fontId="9" fillId="7" borderId="19" applyAlignment="1" pivotButton="0" quotePrefix="0" xfId="1">
      <alignment horizontal="center" vertical="center"/>
    </xf>
    <xf numFmtId="164" fontId="7" fillId="0" borderId="19" applyAlignment="1" pivotButton="0" quotePrefix="0" xfId="1">
      <alignment horizontal="center" vertical="center"/>
    </xf>
    <xf numFmtId="166" fontId="7" fillId="0" borderId="19" applyAlignment="1" pivotButton="0" quotePrefix="0" xfId="0">
      <alignment horizontal="center" vertical="center"/>
    </xf>
    <xf numFmtId="167" fontId="7" fillId="0" borderId="19" applyAlignment="1" pivotButton="0" quotePrefix="0" xfId="0">
      <alignment horizontal="center" vertical="center"/>
    </xf>
    <xf numFmtId="166" fontId="8" fillId="0" borderId="0" applyAlignment="1" pivotButton="0" quotePrefix="0" xfId="0">
      <alignment vertical="center"/>
    </xf>
    <xf numFmtId="164" fontId="7" fillId="0" borderId="0" applyAlignment="1" pivotButton="0" quotePrefix="0" xfId="1">
      <alignment horizontal="center" vertical="center"/>
    </xf>
    <xf numFmtId="166" fontId="7" fillId="0" borderId="0" applyAlignment="1" pivotButton="0" quotePrefix="0" xfId="0">
      <alignment horizontal="center" vertical="center"/>
    </xf>
    <xf numFmtId="167" fontId="7" fillId="0" borderId="0" applyAlignment="1" pivotButton="0" quotePrefix="0" xfId="2">
      <alignment horizontal="center" vertical="center"/>
    </xf>
    <xf numFmtId="166" fontId="8" fillId="8" borderId="26" applyAlignment="1" pivotButton="0" quotePrefix="0" xfId="0">
      <alignment horizontal="center" vertical="center"/>
    </xf>
    <xf numFmtId="164" fontId="7" fillId="8" borderId="26" applyAlignment="1" pivotButton="0" quotePrefix="0" xfId="1">
      <alignment horizontal="center" vertical="center"/>
    </xf>
    <xf numFmtId="164" fontId="7" fillId="8" borderId="26" applyAlignment="1" pivotButton="0" quotePrefix="0" xfId="1">
      <alignment horizontal="center" vertical="center" wrapText="1"/>
    </xf>
    <xf numFmtId="164" fontId="7" fillId="8" borderId="19" applyAlignment="1" pivotButton="0" quotePrefix="0" xfId="1">
      <alignment horizontal="center" vertical="center" wrapText="1"/>
    </xf>
    <xf numFmtId="164" fontId="7" fillId="9" borderId="19" applyAlignment="1" pivotButton="0" quotePrefix="0" xfId="1">
      <alignment horizontal="center" vertical="center"/>
    </xf>
    <xf numFmtId="164" fontId="7" fillId="9" borderId="19" applyAlignment="1" pivotButton="0" quotePrefix="0" xfId="1">
      <alignment horizontal="center" vertical="center" wrapText="1"/>
    </xf>
    <xf numFmtId="164" fontId="8" fillId="9" borderId="19" applyAlignment="1" pivotButton="0" quotePrefix="0" xfId="1">
      <alignment horizontal="center" vertical="center"/>
    </xf>
    <xf numFmtId="166" fontId="8" fillId="0" borderId="19" applyAlignment="1" pivotButton="0" quotePrefix="0" xfId="1">
      <alignment vertical="center"/>
    </xf>
    <xf numFmtId="164" fontId="8" fillId="0" borderId="0" applyAlignment="1" pivotButton="0" quotePrefix="0" xfId="1">
      <alignment vertical="center"/>
    </xf>
    <xf numFmtId="166" fontId="7" fillId="7" borderId="0" applyAlignment="1" pivotButton="0" quotePrefix="0" xfId="0">
      <alignment vertical="center"/>
    </xf>
    <xf numFmtId="0" fontId="7" fillId="0" borderId="32" applyAlignment="1" pivotButton="0" quotePrefix="0" xfId="0">
      <alignment horizontal="center" vertical="center"/>
    </xf>
    <xf numFmtId="166" fontId="7" fillId="0" borderId="32" applyAlignment="1" pivotButton="0" quotePrefix="0" xfId="0">
      <alignment vertical="center"/>
    </xf>
    <xf numFmtId="0" fontId="0" fillId="0" borderId="32" pivotButton="0" quotePrefix="0" xfId="0"/>
    <xf numFmtId="166" fontId="8" fillId="0" borderId="32" applyAlignment="1" pivotButton="0" quotePrefix="0" xfId="0">
      <alignment vertical="center"/>
    </xf>
    <xf numFmtId="166" fontId="7" fillId="0" borderId="19" applyAlignment="1" pivotButton="0" quotePrefix="0" xfId="0">
      <alignment vertical="center"/>
    </xf>
  </cellXfs>
  <cellStyles count="3">
    <cellStyle name="표준" xfId="0" builtinId="0"/>
    <cellStyle name="쉼표 [0]" xfId="1" builtinId="6"/>
    <cellStyle name="백분율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user</author>
  </authors>
  <commentList>
    <comment ref="I8" authorId="0" shapeId="0">
      <text>
        <t>총취득가*렌탈기간의 3.80%</t>
      </text>
    </comment>
    <comment ref="J8" authorId="0" shapeId="0">
      <text>
        <t>총취득가*렌탈기간의 0.70%</t>
      </text>
    </comment>
  </commentList>
</comment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theme="4"/>
    <outlinePr summaryBelow="1" summaryRight="1"/>
    <pageSetUpPr/>
  </sheetPr>
  <dimension ref="A1:Q24"/>
  <sheetViews>
    <sheetView zoomScaleNormal="100" workbookViewId="0">
      <selection activeCell="F17" sqref="F17"/>
    </sheetView>
  </sheetViews>
  <sheetFormatPr baseColWidth="8" defaultColWidth="9" defaultRowHeight="15.6"/>
  <cols>
    <col width="12.09765625" bestFit="1" customWidth="1" style="2" min="1" max="1"/>
    <col width="10" bestFit="1" customWidth="1" style="109" min="2" max="3"/>
    <col width="9.69921875" customWidth="1" style="2" min="4" max="4"/>
    <col width="12.5" bestFit="1" customWidth="1" style="2" min="5" max="5"/>
    <col width="10.59765625" bestFit="1" customWidth="1" style="2" min="6" max="6"/>
    <col width="14.19921875" bestFit="1" customWidth="1" style="2" min="7" max="7"/>
    <col width="9.69921875" bestFit="1" customWidth="1" style="2" min="8" max="8"/>
    <col width="10.5" bestFit="1" customWidth="1" style="2" min="9" max="9"/>
    <col width="9.3984375" customWidth="1" style="2" min="10" max="10"/>
    <col width="10" bestFit="1" customWidth="1" style="2" min="11" max="11"/>
    <col width="10.59765625" customWidth="1" style="2" min="12" max="12"/>
    <col width="12.09765625" bestFit="1" customWidth="1" style="2" min="13" max="13"/>
    <col width="9" customWidth="1" style="2" min="14" max="14"/>
    <col width="9.3984375" bestFit="1" customWidth="1" style="2" min="15" max="15"/>
    <col width="9" customWidth="1" style="2" min="16" max="16"/>
    <col width="10.8984375" bestFit="1" customWidth="1" style="2" min="17" max="17"/>
    <col width="9" customWidth="1" style="2" min="18" max="16384"/>
  </cols>
  <sheetData>
    <row r="1" ht="33" customHeight="1" s="110">
      <c r="A1" s="101">
        <f>'수익률_12개월'!B2</f>
        <v/>
      </c>
      <c r="N1" s="1" t="n"/>
    </row>
    <row r="2" ht="16.2" customHeight="1" s="110" thickBot="1"/>
    <row r="3">
      <c r="A3" s="4" t="inlineStr">
        <is>
          <t>로봇 매입가</t>
        </is>
      </c>
      <c r="B3" s="111">
        <f>+'수익률_12개월'!G6</f>
        <v/>
      </c>
      <c r="C3" s="112" t="n"/>
      <c r="D3" s="4" t="inlineStr">
        <is>
          <t>회수율</t>
        </is>
      </c>
      <c r="E3" s="7">
        <f>+'수익률_12개월'!M6</f>
        <v/>
      </c>
      <c r="F3" s="8" t="n"/>
      <c r="G3" s="9" t="inlineStr">
        <is>
          <t>중도해지 위약금율</t>
        </is>
      </c>
      <c r="H3" s="10" t="n">
        <v>1</v>
      </c>
    </row>
    <row r="4">
      <c r="A4" s="11" t="inlineStr">
        <is>
          <t>기간</t>
        </is>
      </c>
      <c r="B4" s="113">
        <f>+'수익률_12개월'!H6</f>
        <v/>
      </c>
      <c r="C4" s="112" t="n"/>
      <c r="D4" s="11" t="inlineStr">
        <is>
          <t>월 렌탈료</t>
        </is>
      </c>
      <c r="E4" s="113">
        <f>+'수익률_12개월'!K6</f>
        <v/>
      </c>
      <c r="F4" s="114" t="n"/>
      <c r="G4" s="115" t="inlineStr">
        <is>
          <t>보험커버가능액</t>
        </is>
      </c>
      <c r="H4" s="116">
        <f>+'수익률_12개월'!K9</f>
        <v/>
      </c>
    </row>
    <row r="5">
      <c r="A5" s="11" t="inlineStr">
        <is>
          <t>이자율</t>
        </is>
      </c>
      <c r="B5" s="16">
        <f>+'수익률_12개월'!N6</f>
        <v/>
      </c>
      <c r="C5" s="112" t="n"/>
      <c r="D5" s="11" t="inlineStr">
        <is>
          <t>총 렌탈료</t>
        </is>
      </c>
      <c r="E5" s="116">
        <f>+'수익률_12개월'!L6</f>
        <v/>
      </c>
      <c r="F5" s="8" t="n"/>
      <c r="G5" s="11" t="inlineStr">
        <is>
          <t>보험가입율</t>
        </is>
      </c>
      <c r="H5" s="18">
        <f>+H4/E5</f>
        <v/>
      </c>
    </row>
    <row r="6" ht="16.2" customHeight="1" s="110" thickBot="1">
      <c r="A6" s="11" t="inlineStr">
        <is>
          <t>irr</t>
        </is>
      </c>
      <c r="B6" s="16">
        <f>+'수익률_12개월'!L12</f>
        <v/>
      </c>
      <c r="C6" s="112" t="n"/>
      <c r="D6" s="11" t="inlineStr">
        <is>
          <t>잔존가치 비율</t>
        </is>
      </c>
      <c r="E6" s="18">
        <f>+'수익률_12개월'!O6</f>
        <v/>
      </c>
      <c r="F6" s="8" t="n"/>
      <c r="G6" s="19" t="inlineStr">
        <is>
          <t>보증금</t>
        </is>
      </c>
      <c r="H6" s="117">
        <f>+'수익률_12개월'!K14</f>
        <v/>
      </c>
    </row>
    <row r="7" ht="16.2" customHeight="1" s="110" thickBot="1">
      <c r="A7" s="19" t="inlineStr">
        <is>
          <t>손익</t>
        </is>
      </c>
      <c r="B7" s="21">
        <f>+'수익률_12개월'!P6</f>
        <v/>
      </c>
      <c r="C7" s="22" t="n"/>
      <c r="D7" s="19" t="inlineStr">
        <is>
          <t>잔존가치액</t>
        </is>
      </c>
      <c r="E7" s="118">
        <f>'수익률_12개월'!J26</f>
        <v/>
      </c>
      <c r="F7" s="8" t="n"/>
      <c r="G7" s="8" t="n"/>
      <c r="H7" s="8" t="n"/>
    </row>
    <row r="8" ht="16.2" customHeight="1" s="110" thickBot="1">
      <c r="A8" s="24" t="n"/>
      <c r="B8" s="22" t="n"/>
      <c r="C8" s="22" t="n"/>
      <c r="E8" s="24" t="n"/>
      <c r="F8" s="119" t="n"/>
    </row>
    <row r="9" ht="16.2" customHeight="1" s="110" thickBot="1">
      <c r="F9" s="120" t="inlineStr">
        <is>
          <t>정상채권 상황</t>
        </is>
      </c>
      <c r="G9" s="121" t="n"/>
      <c r="H9" s="122" t="n"/>
      <c r="I9" s="123" t="inlineStr">
        <is>
          <t>부실채권 발생 상황</t>
        </is>
      </c>
      <c r="J9" s="124" t="n"/>
      <c r="K9" s="124" t="n"/>
      <c r="L9" s="125" t="n"/>
    </row>
    <row r="10" ht="26.4" customHeight="1" s="110">
      <c r="A10" s="26" t="inlineStr">
        <is>
          <t>회차</t>
        </is>
      </c>
      <c r="B10" s="126" t="inlineStr">
        <is>
          <t>누적원리금
(a)</t>
        </is>
      </c>
      <c r="C10" s="127" t="inlineStr">
        <is>
          <t>렌탈료
회수율</t>
        </is>
      </c>
      <c r="D10" s="29" t="inlineStr">
        <is>
          <t>잔존가치
비율</t>
        </is>
      </c>
      <c r="E10" s="30" t="inlineStr">
        <is>
          <t>잔존가치액</t>
        </is>
      </c>
      <c r="F10" s="31" t="inlineStr">
        <is>
          <t>회차별 회수금</t>
        </is>
      </c>
      <c r="G10" s="32" t="inlineStr">
        <is>
          <t>회수율
(매입가 대비)</t>
        </is>
      </c>
      <c r="H10" s="33" t="inlineStr">
        <is>
          <t>중도해지
위약금</t>
        </is>
      </c>
      <c r="I10" s="34" t="inlineStr">
        <is>
          <t>보험커버
가능액(d)</t>
        </is>
      </c>
      <c r="J10" s="35" t="inlineStr">
        <is>
          <t>담보액</t>
        </is>
      </c>
      <c r="K10" s="36" t="inlineStr">
        <is>
          <t>최종회수금
(c+d)=( e)</t>
        </is>
      </c>
      <c r="L10" s="32" t="inlineStr">
        <is>
          <t>회수율
(매입가 대비)</t>
        </is>
      </c>
      <c r="M10" s="32" t="inlineStr">
        <is>
          <t xml:space="preserve"> 보증필요</t>
        </is>
      </c>
    </row>
    <row r="11">
      <c r="A11" s="37" t="n">
        <v>1</v>
      </c>
      <c r="B11" s="128">
        <f>E4</f>
        <v/>
      </c>
      <c r="C11" s="39">
        <f>B11/$B$3</f>
        <v/>
      </c>
      <c r="D11" s="40" t="n">
        <v>0</v>
      </c>
      <c r="E11" s="129" t="n"/>
      <c r="F11" s="130">
        <f>B11+E11</f>
        <v/>
      </c>
      <c r="G11" s="43">
        <f>F11/$B$3</f>
        <v/>
      </c>
      <c r="H11" s="131">
        <f>$E$5-B11</f>
        <v/>
      </c>
      <c r="I11" s="132">
        <f>+$H$4</f>
        <v/>
      </c>
      <c r="J11" s="133">
        <f>$H$6</f>
        <v/>
      </c>
      <c r="K11" s="134">
        <f>F11+I11+J11</f>
        <v/>
      </c>
      <c r="L11" s="48">
        <f>K11/$B$3</f>
        <v/>
      </c>
      <c r="M11" s="49">
        <f>$B$3-K11</f>
        <v/>
      </c>
      <c r="O11" s="128" t="n">
        <v>22990000</v>
      </c>
      <c r="Q11" s="135">
        <f>O11+$P$11</f>
        <v/>
      </c>
    </row>
    <row r="12">
      <c r="A12" s="37" t="n">
        <v>2</v>
      </c>
      <c r="B12" s="128">
        <f>$B$11*A12</f>
        <v/>
      </c>
      <c r="C12" s="39">
        <f>B12/$B$3</f>
        <v/>
      </c>
      <c r="D12" s="40" t="n">
        <v>0</v>
      </c>
      <c r="E12" s="129" t="n"/>
      <c r="F12" s="130">
        <f>B12+E12</f>
        <v/>
      </c>
      <c r="G12" s="43">
        <f>F12/$B$3</f>
        <v/>
      </c>
      <c r="H12" s="131">
        <f>$E$5-B12</f>
        <v/>
      </c>
      <c r="I12" s="132">
        <f>IF(H12&gt;I11,I11,H12)</f>
        <v/>
      </c>
      <c r="J12" s="133">
        <f>$H$6</f>
        <v/>
      </c>
      <c r="K12" s="134">
        <f>F12+I12+J12</f>
        <v/>
      </c>
      <c r="L12" s="48">
        <f>K12/$B$3</f>
        <v/>
      </c>
      <c r="M12" s="49">
        <f>$B$3-K12</f>
        <v/>
      </c>
      <c r="O12" s="128" t="n">
        <v>20970000</v>
      </c>
      <c r="Q12" s="135">
        <f>O12+$P$11</f>
        <v/>
      </c>
    </row>
    <row r="13">
      <c r="A13" s="37" t="n">
        <v>3</v>
      </c>
      <c r="B13" s="128">
        <f>$B$11*A13</f>
        <v/>
      </c>
      <c r="C13" s="39">
        <f>B13/$B$3</f>
        <v/>
      </c>
      <c r="D13" s="40" t="n">
        <v>0</v>
      </c>
      <c r="E13" s="129" t="n"/>
      <c r="F13" s="130">
        <f>B13+E13</f>
        <v/>
      </c>
      <c r="G13" s="43">
        <f>F13/$B$3</f>
        <v/>
      </c>
      <c r="H13" s="131">
        <f>$E$5-B13</f>
        <v/>
      </c>
      <c r="I13" s="132">
        <f>IF(H13&gt;I12,I12,H13)</f>
        <v/>
      </c>
      <c r="J13" s="133">
        <f>$H$6</f>
        <v/>
      </c>
      <c r="K13" s="134">
        <f>F13+I13+J13</f>
        <v/>
      </c>
      <c r="L13" s="48">
        <f>K13/$B$3</f>
        <v/>
      </c>
      <c r="M13" s="49">
        <f>$B$3-K13</f>
        <v/>
      </c>
      <c r="O13" s="128" t="n">
        <v>18950000</v>
      </c>
      <c r="Q13" s="135">
        <f>O13+$P$11</f>
        <v/>
      </c>
    </row>
    <row r="14">
      <c r="A14" s="37" t="n">
        <v>4</v>
      </c>
      <c r="B14" s="128">
        <f>$B$11*A14</f>
        <v/>
      </c>
      <c r="C14" s="39">
        <f>B14/$B$3</f>
        <v/>
      </c>
      <c r="D14" s="40" t="n">
        <v>0</v>
      </c>
      <c r="E14" s="129" t="n"/>
      <c r="F14" s="130">
        <f>B14+E14</f>
        <v/>
      </c>
      <c r="G14" s="43">
        <f>F14/$B$3</f>
        <v/>
      </c>
      <c r="H14" s="131">
        <f>$E$5-B14</f>
        <v/>
      </c>
      <c r="I14" s="132">
        <f>IF(H14&gt;I13,I13,H14)</f>
        <v/>
      </c>
      <c r="J14" s="133">
        <f>$H$6</f>
        <v/>
      </c>
      <c r="K14" s="134">
        <f>F14+I14+J14</f>
        <v/>
      </c>
      <c r="L14" s="48">
        <f>K14/$B$3</f>
        <v/>
      </c>
      <c r="M14" s="49">
        <f>$B$3-K14</f>
        <v/>
      </c>
      <c r="O14" s="128" t="n">
        <v>16940000</v>
      </c>
      <c r="Q14" s="135">
        <f>O14+$P$11</f>
        <v/>
      </c>
    </row>
    <row r="15">
      <c r="A15" s="37" t="n">
        <v>5</v>
      </c>
      <c r="B15" s="128">
        <f>$B$11*A15</f>
        <v/>
      </c>
      <c r="C15" s="39">
        <f>B15/$B$3</f>
        <v/>
      </c>
      <c r="D15" s="40" t="n">
        <v>0</v>
      </c>
      <c r="E15" s="129" t="n"/>
      <c r="F15" s="130">
        <f>B15+E15</f>
        <v/>
      </c>
      <c r="G15" s="43">
        <f>F15/$B$3</f>
        <v/>
      </c>
      <c r="H15" s="131">
        <f>$E$5-B15</f>
        <v/>
      </c>
      <c r="I15" s="132">
        <f>IF(H15&gt;I14,I14,H15)</f>
        <v/>
      </c>
      <c r="J15" s="133">
        <f>$H$6</f>
        <v/>
      </c>
      <c r="K15" s="134">
        <f>F15+I15+J15</f>
        <v/>
      </c>
      <c r="L15" s="48">
        <f>K15/$B$3</f>
        <v/>
      </c>
      <c r="M15" s="49">
        <f>$B$3-K15</f>
        <v/>
      </c>
      <c r="O15" s="128" t="n">
        <v>14920000</v>
      </c>
      <c r="Q15" s="135">
        <f>O15+$P$11</f>
        <v/>
      </c>
    </row>
    <row r="16">
      <c r="A16" s="37" t="n">
        <v>6</v>
      </c>
      <c r="B16" s="128">
        <f>$B$11*A16</f>
        <v/>
      </c>
      <c r="C16" s="39">
        <f>B16/$B$3</f>
        <v/>
      </c>
      <c r="D16" s="40" t="n">
        <v>0</v>
      </c>
      <c r="E16" s="129" t="n"/>
      <c r="F16" s="130">
        <f>B16+E16</f>
        <v/>
      </c>
      <c r="G16" s="43">
        <f>F16/$B$3</f>
        <v/>
      </c>
      <c r="H16" s="131">
        <f>$E$5-B16</f>
        <v/>
      </c>
      <c r="I16" s="132">
        <f>IF(H16&gt;I15,I15,H16)</f>
        <v/>
      </c>
      <c r="J16" s="133">
        <f>$H$6</f>
        <v/>
      </c>
      <c r="K16" s="134">
        <f>F16+I16+J16</f>
        <v/>
      </c>
      <c r="L16" s="48">
        <f>K16/$B$3</f>
        <v/>
      </c>
      <c r="M16" s="49">
        <f>$B$3-K16</f>
        <v/>
      </c>
      <c r="O16" s="128" t="n">
        <v>12900000</v>
      </c>
      <c r="Q16" s="135">
        <f>O16+$P$11</f>
        <v/>
      </c>
    </row>
    <row r="17">
      <c r="A17" s="37" t="n">
        <v>7</v>
      </c>
      <c r="B17" s="128">
        <f>$B$11*A17</f>
        <v/>
      </c>
      <c r="C17" s="39">
        <f>B17/$B$3</f>
        <v/>
      </c>
      <c r="D17" s="40" t="n">
        <v>0</v>
      </c>
      <c r="E17" s="129" t="n"/>
      <c r="F17" s="130">
        <f>B17+E17</f>
        <v/>
      </c>
      <c r="G17" s="43">
        <f>F17/$B$3</f>
        <v/>
      </c>
      <c r="H17" s="131">
        <f>$E$5-B17</f>
        <v/>
      </c>
      <c r="I17" s="132">
        <f>IF(H17&gt;I16,I16,H17)</f>
        <v/>
      </c>
      <c r="J17" s="133">
        <f>$H$6</f>
        <v/>
      </c>
      <c r="K17" s="134">
        <f>F17+I17+J17</f>
        <v/>
      </c>
      <c r="L17" s="48">
        <f>K17/$B$3</f>
        <v/>
      </c>
      <c r="M17" s="49">
        <f>$B$3-K17</f>
        <v/>
      </c>
      <c r="O17" s="128" t="n">
        <v>10880000</v>
      </c>
      <c r="Q17" s="135">
        <f>O17+$P$11</f>
        <v/>
      </c>
    </row>
    <row r="18">
      <c r="A18" s="37" t="n">
        <v>8</v>
      </c>
      <c r="B18" s="128">
        <f>$B$11*A18</f>
        <v/>
      </c>
      <c r="C18" s="39">
        <f>B18/$B$3</f>
        <v/>
      </c>
      <c r="D18" s="40" t="n">
        <v>0</v>
      </c>
      <c r="E18" s="129" t="n"/>
      <c r="F18" s="130">
        <f>B18+E18</f>
        <v/>
      </c>
      <c r="G18" s="43">
        <f>F18/$B$3</f>
        <v/>
      </c>
      <c r="H18" s="131">
        <f>$E$5-B18</f>
        <v/>
      </c>
      <c r="I18" s="132">
        <f>IF(H18&gt;I17,I17,H18)</f>
        <v/>
      </c>
      <c r="J18" s="133">
        <f>$H$6</f>
        <v/>
      </c>
      <c r="K18" s="134">
        <f>F18+I18+J18</f>
        <v/>
      </c>
      <c r="L18" s="48">
        <f>K18/$B$3</f>
        <v/>
      </c>
      <c r="M18" s="49">
        <f>$B$3-K18</f>
        <v/>
      </c>
      <c r="O18" s="128" t="n">
        <v>8870000</v>
      </c>
      <c r="Q18" s="135">
        <f>O18+$P$11</f>
        <v/>
      </c>
    </row>
    <row r="19">
      <c r="A19" s="37" t="n">
        <v>9</v>
      </c>
      <c r="B19" s="128">
        <f>$B$11*A19</f>
        <v/>
      </c>
      <c r="C19" s="39">
        <f>B19/$B$3</f>
        <v/>
      </c>
      <c r="D19" s="40" t="n">
        <v>0</v>
      </c>
      <c r="E19" s="129" t="n"/>
      <c r="F19" s="130">
        <f>B19+E19</f>
        <v/>
      </c>
      <c r="G19" s="43">
        <f>F19/$B$3</f>
        <v/>
      </c>
      <c r="H19" s="131">
        <f>$E$5-B19</f>
        <v/>
      </c>
      <c r="I19" s="132">
        <f>IF(H19&gt;I18,I18,H19)</f>
        <v/>
      </c>
      <c r="J19" s="133">
        <f>$H$6</f>
        <v/>
      </c>
      <c r="K19" s="134">
        <f>F19+I19+J19</f>
        <v/>
      </c>
      <c r="L19" s="48">
        <f>K19/$B$3</f>
        <v/>
      </c>
      <c r="M19" s="49">
        <f>$B$3-K19</f>
        <v/>
      </c>
      <c r="O19" s="128" t="n">
        <v>6850000</v>
      </c>
      <c r="Q19" s="135">
        <f>O19+$P$11</f>
        <v/>
      </c>
    </row>
    <row r="20">
      <c r="A20" s="37" t="n">
        <v>10</v>
      </c>
      <c r="B20" s="128">
        <f>$B$11*A20</f>
        <v/>
      </c>
      <c r="C20" s="39">
        <f>B20/$B$3</f>
        <v/>
      </c>
      <c r="D20" s="40" t="n">
        <v>0</v>
      </c>
      <c r="E20" s="129" t="n"/>
      <c r="F20" s="130">
        <f>B20+E20</f>
        <v/>
      </c>
      <c r="G20" s="43">
        <f>F20/$B$3</f>
        <v/>
      </c>
      <c r="H20" s="131">
        <f>$E$5-B20</f>
        <v/>
      </c>
      <c r="I20" s="132">
        <f>IF(H20&gt;I19,I19,H20)</f>
        <v/>
      </c>
      <c r="J20" s="133">
        <f>$H$6</f>
        <v/>
      </c>
      <c r="K20" s="134">
        <f>F20+I20+J20</f>
        <v/>
      </c>
      <c r="L20" s="48">
        <f>K20/$B$3</f>
        <v/>
      </c>
      <c r="M20" s="49">
        <f>$B$3-K20</f>
        <v/>
      </c>
      <c r="O20" s="128" t="n">
        <v>4830000</v>
      </c>
      <c r="Q20" s="135">
        <f>O20+$P$11</f>
        <v/>
      </c>
    </row>
    <row r="21">
      <c r="A21" s="37" t="n">
        <v>11</v>
      </c>
      <c r="B21" s="128">
        <f>$B$11*A21</f>
        <v/>
      </c>
      <c r="C21" s="39">
        <f>B21/$B$3</f>
        <v/>
      </c>
      <c r="D21" s="40" t="n">
        <v>0</v>
      </c>
      <c r="E21" s="129" t="n"/>
      <c r="F21" s="130">
        <f>B21+E21</f>
        <v/>
      </c>
      <c r="G21" s="43">
        <f>F21/$B$3</f>
        <v/>
      </c>
      <c r="H21" s="131">
        <f>$E$5-B21</f>
        <v/>
      </c>
      <c r="I21" s="132">
        <f>IF(H21&gt;I20,I20,H21)</f>
        <v/>
      </c>
      <c r="J21" s="133">
        <f>$H$6</f>
        <v/>
      </c>
      <c r="K21" s="134">
        <f>F21+I21+J21</f>
        <v/>
      </c>
      <c r="L21" s="48">
        <f>K21/$B$3</f>
        <v/>
      </c>
      <c r="M21" s="49">
        <f>$B$3-K21</f>
        <v/>
      </c>
      <c r="O21" s="128" t="n">
        <v>2810000</v>
      </c>
      <c r="Q21" s="135">
        <f>O21+$P$11</f>
        <v/>
      </c>
    </row>
    <row r="22">
      <c r="A22" s="37" t="n">
        <v>12</v>
      </c>
      <c r="B22" s="128">
        <f>$B$11*A22</f>
        <v/>
      </c>
      <c r="C22" s="39">
        <f>B22/$B$3</f>
        <v/>
      </c>
      <c r="D22" s="40" t="n">
        <v>0</v>
      </c>
      <c r="E22" s="129" t="n"/>
      <c r="F22" s="130">
        <f>B22+E22</f>
        <v/>
      </c>
      <c r="G22" s="43">
        <f>F22/$B$3</f>
        <v/>
      </c>
      <c r="H22" s="131">
        <f>$E$5-B22</f>
        <v/>
      </c>
      <c r="I22" s="132">
        <f>IF(H22&gt;I21,I21,H22)</f>
        <v/>
      </c>
      <c r="J22" s="133">
        <f>$H$6</f>
        <v/>
      </c>
      <c r="K22" s="134">
        <f>F22+I22+J22</f>
        <v/>
      </c>
      <c r="L22" s="48">
        <f>K22/$B$3</f>
        <v/>
      </c>
      <c r="M22" s="49">
        <f>$B$3-K22</f>
        <v/>
      </c>
      <c r="O22" s="128" t="n">
        <v>800000</v>
      </c>
      <c r="Q22" s="135" t="n">
        <v>800000</v>
      </c>
    </row>
    <row r="23">
      <c r="E23" s="136" t="n"/>
      <c r="F23" s="136" t="n"/>
      <c r="M23" s="135" t="n"/>
    </row>
    <row r="24">
      <c r="E24" s="52" t="n"/>
    </row>
  </sheetData>
  <mergeCells count="3">
    <mergeCell ref="A1:M1"/>
    <mergeCell ref="F9:H9"/>
    <mergeCell ref="I9:L9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tabColor theme="4" tint="-0.249977111117893"/>
    <outlinePr summaryBelow="1" summaryRight="1"/>
    <pageSetUpPr/>
  </sheetPr>
  <dimension ref="B2:Q28"/>
  <sheetViews>
    <sheetView tabSelected="1" zoomScale="85" zoomScaleNormal="85" workbookViewId="0">
      <selection activeCell="S8" sqref="S8"/>
    </sheetView>
  </sheetViews>
  <sheetFormatPr baseColWidth="8" defaultColWidth="9" defaultRowHeight="13.2"/>
  <cols>
    <col width="1.69921875" bestFit="1" customWidth="1" style="8" min="1" max="1"/>
    <col width="4.19921875" customWidth="1" style="53" min="2" max="2"/>
    <col width="10.19921875" bestFit="1" customWidth="1" style="8" min="3" max="3"/>
    <col width="11" bestFit="1" customWidth="1" style="8" min="4" max="4"/>
    <col width="11.59765625" bestFit="1" customWidth="1" style="8" min="5" max="5"/>
    <col width="10.59765625" customWidth="1" style="8" min="6" max="6"/>
    <col width="10.5" bestFit="1" customWidth="1" style="8" min="7" max="7"/>
    <col width="9" bestFit="1" customWidth="1" style="8" min="8" max="8"/>
    <col width="9.19921875" customWidth="1" style="8" min="9" max="9"/>
    <col width="9.69921875" bestFit="1" customWidth="1" style="8" min="10" max="10"/>
    <col width="11.19921875" bestFit="1" customWidth="1" style="8" min="11" max="11"/>
    <col width="12.19921875" bestFit="1" customWidth="1" style="8" min="12" max="12"/>
    <col width="12.8984375" customWidth="1" style="8" min="13" max="13"/>
    <col width="11.3984375" customWidth="1" style="8" min="14" max="14"/>
    <col width="8.19921875" bestFit="1" customWidth="1" style="8" min="15" max="15"/>
    <col width="10.19921875" bestFit="1" customWidth="1" style="8" min="16" max="16"/>
    <col width="9.19921875" bestFit="1" customWidth="1" style="8" min="17" max="17"/>
    <col width="9" customWidth="1" style="8" min="18" max="16384"/>
  </cols>
  <sheetData>
    <row r="1" ht="13.8" customHeight="1" s="110" thickBot="1"/>
    <row r="2" ht="33.6" customHeight="1" s="110" thickBot="1">
      <c r="B2" s="137" t="inlineStr">
        <is>
          <t xml:space="preserve"> 4족보행로봇</t>
        </is>
      </c>
      <c r="C2" s="124" t="n"/>
      <c r="D2" s="124" t="n"/>
      <c r="E2" s="124" t="n"/>
      <c r="F2" s="124" t="n"/>
      <c r="G2" s="124" t="n"/>
      <c r="H2" s="124" t="n"/>
      <c r="I2" s="124" t="n"/>
      <c r="J2" s="124" t="n"/>
      <c r="K2" s="124" t="n"/>
      <c r="L2" s="124" t="n"/>
      <c r="M2" s="124" t="n"/>
      <c r="N2" s="124" t="n"/>
      <c r="O2" s="124" t="n"/>
      <c r="P2" s="125" t="n"/>
      <c r="Q2" s="1" t="n"/>
    </row>
    <row r="4">
      <c r="K4" s="138">
        <f>ROUNDUP(PMT(I6/12,H6,-G6),-2)</f>
        <v/>
      </c>
    </row>
    <row r="5" ht="21.75" customHeight="1" s="110">
      <c r="B5" s="55" t="inlineStr">
        <is>
          <t>상품</t>
        </is>
      </c>
      <c r="C5" s="56" t="inlineStr">
        <is>
          <t>제조사</t>
        </is>
      </c>
      <c r="D5" s="56" t="inlineStr">
        <is>
          <t>모델</t>
        </is>
      </c>
      <c r="E5" s="56" t="inlineStr">
        <is>
          <t>취득가</t>
        </is>
      </c>
      <c r="F5" s="56" t="inlineStr">
        <is>
          <t>수량</t>
        </is>
      </c>
      <c r="G5" s="56" t="inlineStr">
        <is>
          <t>총취득가</t>
        </is>
      </c>
      <c r="H5" s="56" t="inlineStr">
        <is>
          <t>렌탈기간</t>
        </is>
      </c>
      <c r="I5" s="56" t="inlineStr">
        <is>
          <t>RR</t>
        </is>
      </c>
      <c r="J5" s="56" t="inlineStr">
        <is>
          <t>IRR</t>
        </is>
      </c>
      <c r="K5" s="56" t="inlineStr">
        <is>
          <t>렌탈료</t>
        </is>
      </c>
      <c r="L5" s="56" t="inlineStr">
        <is>
          <t>총렌탈료</t>
        </is>
      </c>
      <c r="M5" s="56" t="inlineStr">
        <is>
          <t>회수율</t>
        </is>
      </c>
      <c r="N5" s="56" t="inlineStr">
        <is>
          <t>이자율</t>
        </is>
      </c>
      <c r="O5" s="56" t="inlineStr">
        <is>
          <t>RV</t>
        </is>
      </c>
      <c r="P5" s="56" t="inlineStr">
        <is>
          <t>손익율</t>
        </is>
      </c>
    </row>
    <row r="6">
      <c r="B6" s="57" t="inlineStr">
        <is>
          <t>로봇</t>
        </is>
      </c>
      <c r="C6" s="57" t="n"/>
      <c r="D6" s="58" t="inlineStr">
        <is>
          <t>4족보행로봇</t>
        </is>
      </c>
      <c r="E6" s="139" t="n">
        <v>44660000</v>
      </c>
      <c r="F6" s="140" t="n">
        <v>4</v>
      </c>
      <c r="G6" s="140">
        <f>E6*F6</f>
        <v/>
      </c>
      <c r="H6" s="57" t="n">
        <v>12</v>
      </c>
      <c r="I6" s="61" t="n">
        <v>0.3016912743289681</v>
      </c>
      <c r="J6" s="62">
        <f>L12</f>
        <v/>
      </c>
      <c r="K6" s="138" t="n">
        <v>13000000</v>
      </c>
      <c r="L6" s="141">
        <f>K6*H6+K14</f>
        <v/>
      </c>
      <c r="M6" s="64">
        <f>L6/G6</f>
        <v/>
      </c>
      <c r="N6" s="61" t="n">
        <v>0.06</v>
      </c>
      <c r="O6" s="142" t="n">
        <v>0</v>
      </c>
      <c r="P6" s="64">
        <f>P27/G6</f>
        <v/>
      </c>
    </row>
    <row r="7">
      <c r="B7" s="66" t="n"/>
      <c r="C7" s="66" t="n"/>
      <c r="D7" s="67" t="n"/>
      <c r="E7" s="143" t="n"/>
      <c r="F7" s="144" t="n"/>
      <c r="G7" s="144" t="n"/>
      <c r="H7" s="66" t="n"/>
      <c r="I7" s="70" t="n"/>
      <c r="J7" s="70" t="n"/>
      <c r="K7" s="145" t="n"/>
      <c r="L7" s="145">
        <f>+L6*80%</f>
        <v/>
      </c>
      <c r="M7" s="146" t="n"/>
      <c r="N7" s="70" t="n"/>
      <c r="O7" s="73" t="n"/>
      <c r="P7" s="74">
        <f>+P6/(H6/12)</f>
        <v/>
      </c>
    </row>
    <row r="8" ht="26.4" customHeight="1" s="110">
      <c r="B8" s="66" t="n"/>
      <c r="C8" s="75" t="inlineStr">
        <is>
          <t>설치비(원)</t>
        </is>
      </c>
      <c r="D8" s="76" t="inlineStr">
        <is>
          <t>VOC비용(원)</t>
        </is>
      </c>
      <c r="E8" s="76" t="inlineStr">
        <is>
          <t>예비비(원)</t>
        </is>
      </c>
      <c r="F8" s="147" t="inlineStr">
        <is>
          <t>판관비(원)</t>
        </is>
      </c>
      <c r="G8" s="148" t="inlineStr">
        <is>
          <t>영업비(원)</t>
        </is>
      </c>
      <c r="H8" s="149" t="inlineStr">
        <is>
          <t>보증보험
할인율(%)</t>
        </is>
      </c>
      <c r="I8" s="148" t="inlineStr">
        <is>
          <t>판관비율</t>
        </is>
      </c>
      <c r="J8" s="148" t="inlineStr">
        <is>
          <t>영업비율</t>
        </is>
      </c>
      <c r="K8" s="149" t="inlineStr">
        <is>
          <t>보증보험
커버금액</t>
        </is>
      </c>
      <c r="L8" s="150" t="inlineStr">
        <is>
          <t>보증보험
가입비율</t>
        </is>
      </c>
      <c r="M8" s="146" t="n"/>
      <c r="N8" s="70" t="n"/>
      <c r="O8" s="73" t="n"/>
      <c r="P8" s="74" t="n"/>
    </row>
    <row r="9">
      <c r="B9" s="66" t="n"/>
      <c r="C9" s="151" t="n"/>
      <c r="D9" s="152" t="n"/>
      <c r="E9" s="152" t="n"/>
      <c r="F9" s="153">
        <f>(G6*I9)/H6</f>
        <v/>
      </c>
      <c r="G9" s="153">
        <f>(G6*J9)/H6</f>
        <v/>
      </c>
      <c r="H9" s="84" t="n">
        <v>0.15</v>
      </c>
      <c r="I9" s="85">
        <f>0.1055555555%*H6</f>
        <v/>
      </c>
      <c r="J9" s="85" t="n"/>
      <c r="K9" s="154">
        <f>L6*L9</f>
        <v/>
      </c>
      <c r="L9" s="87" t="n"/>
      <c r="M9" s="146" t="n"/>
      <c r="N9" s="70" t="n"/>
      <c r="O9" s="73" t="n"/>
      <c r="P9" s="74" t="n"/>
    </row>
    <row r="10">
      <c r="I10" s="88" t="n"/>
      <c r="J10" s="155" t="n"/>
      <c r="K10" s="143">
        <f>+K9+K14</f>
        <v/>
      </c>
      <c r="L10" s="156">
        <f>+L6-K10</f>
        <v/>
      </c>
      <c r="M10" s="8" t="inlineStr">
        <is>
          <t>1개월차 최소 재매입금액</t>
        </is>
      </c>
      <c r="P10" s="88" t="n"/>
    </row>
    <row r="11">
      <c r="L11" s="91" t="inlineStr">
        <is>
          <t>IRR</t>
        </is>
      </c>
      <c r="N11" s="155" t="n"/>
    </row>
    <row r="12">
      <c r="B12" s="91" t="inlineStr">
        <is>
          <t>회차</t>
        </is>
      </c>
      <c r="C12" s="91" t="inlineStr">
        <is>
          <t>월렌탈료</t>
        </is>
      </c>
      <c r="D12" s="91" t="inlineStr">
        <is>
          <t>총취득가</t>
        </is>
      </c>
      <c r="E12" s="92" t="inlineStr">
        <is>
          <t>예비비</t>
        </is>
      </c>
      <c r="F12" s="91" t="inlineStr">
        <is>
          <t>보증보험료</t>
        </is>
      </c>
      <c r="G12" s="93" t="inlineStr">
        <is>
          <t>판관비</t>
        </is>
      </c>
      <c r="H12" s="91" t="inlineStr">
        <is>
          <t>영업비</t>
        </is>
      </c>
      <c r="I12" s="91" t="inlineStr">
        <is>
          <t>유지 비용</t>
        </is>
      </c>
      <c r="J12" s="91" t="inlineStr">
        <is>
          <t>RV</t>
        </is>
      </c>
      <c r="K12" s="91" t="inlineStr">
        <is>
          <t>선수금</t>
        </is>
      </c>
      <c r="L12" s="94">
        <f>IRR(L13:L26)*12</f>
        <v/>
      </c>
      <c r="M12" s="91" t="inlineStr">
        <is>
          <t>감가상각비</t>
        </is>
      </c>
      <c r="N12" s="91" t="inlineStr">
        <is>
          <t>원금</t>
        </is>
      </c>
      <c r="O12" s="91" t="inlineStr">
        <is>
          <t>이자</t>
        </is>
      </c>
      <c r="P12" s="91" t="inlineStr">
        <is>
          <t>손익</t>
        </is>
      </c>
    </row>
    <row r="13">
      <c r="B13" s="157" t="n">
        <v>0</v>
      </c>
      <c r="C13" s="158" t="n"/>
      <c r="D13" s="158">
        <f>-G6</f>
        <v/>
      </c>
      <c r="E13" s="158" t="n"/>
      <c r="F13" s="158" t="n"/>
      <c r="G13" s="158" t="n"/>
      <c r="H13" s="158" t="n"/>
      <c r="I13" s="158" t="n"/>
      <c r="J13" s="158" t="n"/>
      <c r="K13" s="159" t="n"/>
      <c r="L13" s="158">
        <f>SUM(C13:K13)</f>
        <v/>
      </c>
      <c r="M13" s="158" t="n"/>
      <c r="N13" s="158">
        <f>G6</f>
        <v/>
      </c>
      <c r="O13" s="158" t="n"/>
      <c r="P13" s="158" t="n"/>
    </row>
    <row r="14">
      <c r="B14" s="157" t="n">
        <v>1</v>
      </c>
      <c r="C14" s="158">
        <f>K6</f>
        <v/>
      </c>
      <c r="D14" s="158" t="n"/>
      <c r="E14" s="158">
        <f>-E9*F6</f>
        <v/>
      </c>
      <c r="F14" s="158" t="n"/>
      <c r="G14" s="158">
        <f>-F9</f>
        <v/>
      </c>
      <c r="H14" s="158">
        <f>-G9</f>
        <v/>
      </c>
      <c r="I14" s="158" t="n"/>
      <c r="J14" s="158" t="n"/>
      <c r="K14" s="158" t="n">
        <v>50000000</v>
      </c>
      <c r="L14" s="158">
        <f>SUM(C14:K14)</f>
        <v/>
      </c>
      <c r="M14" s="158">
        <f>(G6-J26)/H6</f>
        <v/>
      </c>
      <c r="N14" s="158">
        <f>N13-M14</f>
        <v/>
      </c>
      <c r="O14" s="158">
        <f>(N13*$N$6)/12</f>
        <v/>
      </c>
      <c r="P14" s="158">
        <f>L14-M14-O14</f>
        <v/>
      </c>
    </row>
    <row r="15">
      <c r="B15" s="157" t="n">
        <v>2</v>
      </c>
      <c r="C15" s="158">
        <f>C14</f>
        <v/>
      </c>
      <c r="D15" s="158" t="n"/>
      <c r="E15" s="158" t="inlineStr">
        <is>
          <t> </t>
        </is>
      </c>
      <c r="F15" s="158" t="n"/>
      <c r="G15" s="158">
        <f>G14</f>
        <v/>
      </c>
      <c r="H15" s="158">
        <f>H14</f>
        <v/>
      </c>
      <c r="I15" s="158" t="n"/>
      <c r="J15" s="158" t="n"/>
      <c r="K15" s="158" t="n"/>
      <c r="L15" s="158">
        <f>SUM(C15:K15)</f>
        <v/>
      </c>
      <c r="M15" s="158">
        <f>M14</f>
        <v/>
      </c>
      <c r="N15" s="158">
        <f>N14-M15</f>
        <v/>
      </c>
      <c r="O15" s="158">
        <f>(N14*$N$6)/12</f>
        <v/>
      </c>
      <c r="P15" s="158">
        <f>L15-M15-O15</f>
        <v/>
      </c>
    </row>
    <row r="16">
      <c r="B16" s="157" t="n">
        <v>3</v>
      </c>
      <c r="C16" s="158">
        <f>C15</f>
        <v/>
      </c>
      <c r="D16" s="158" t="n"/>
      <c r="E16" s="158" t="n"/>
      <c r="F16" s="158" t="n"/>
      <c r="G16" s="158">
        <f>G15</f>
        <v/>
      </c>
      <c r="H16" s="158">
        <f>H15</f>
        <v/>
      </c>
      <c r="I16" s="158" t="n"/>
      <c r="J16" s="158" t="n"/>
      <c r="K16" s="158" t="n"/>
      <c r="L16" s="158">
        <f>SUM(C16:K16)</f>
        <v/>
      </c>
      <c r="M16" s="158">
        <f>M15</f>
        <v/>
      </c>
      <c r="N16" s="158">
        <f>N15-M16</f>
        <v/>
      </c>
      <c r="O16" s="158">
        <f>(N15*$N$6)/12</f>
        <v/>
      </c>
      <c r="P16" s="158">
        <f>L16-M16-O16</f>
        <v/>
      </c>
    </row>
    <row r="17">
      <c r="B17" s="157" t="n">
        <v>4</v>
      </c>
      <c r="C17" s="158">
        <f>C16</f>
        <v/>
      </c>
      <c r="D17" s="158" t="n"/>
      <c r="E17" s="158" t="n"/>
      <c r="F17" s="158" t="n"/>
      <c r="G17" s="158">
        <f>G16</f>
        <v/>
      </c>
      <c r="H17" s="158">
        <f>H16</f>
        <v/>
      </c>
      <c r="I17" s="158" t="n"/>
      <c r="J17" s="158" t="n"/>
      <c r="K17" s="158" t="n"/>
      <c r="L17" s="158">
        <f>SUM(C17:K17)</f>
        <v/>
      </c>
      <c r="M17" s="158">
        <f>M16</f>
        <v/>
      </c>
      <c r="N17" s="158">
        <f>N16-M17</f>
        <v/>
      </c>
      <c r="O17" s="158">
        <f>(N16*$N$6)/12</f>
        <v/>
      </c>
      <c r="P17" s="158">
        <f>L17-M17-O17</f>
        <v/>
      </c>
    </row>
    <row r="18">
      <c r="B18" s="157" t="n">
        <v>5</v>
      </c>
      <c r="C18" s="158">
        <f>C17</f>
        <v/>
      </c>
      <c r="D18" s="158" t="n"/>
      <c r="E18" s="158" t="n"/>
      <c r="F18" s="158" t="n"/>
      <c r="G18" s="158">
        <f>G17</f>
        <v/>
      </c>
      <c r="H18" s="158">
        <f>H17</f>
        <v/>
      </c>
      <c r="I18" s="158" t="n"/>
      <c r="J18" s="158" t="n"/>
      <c r="K18" s="158" t="n"/>
      <c r="L18" s="158">
        <f>SUM(C18:K18)</f>
        <v/>
      </c>
      <c r="M18" s="158">
        <f>M17</f>
        <v/>
      </c>
      <c r="N18" s="158">
        <f>N17-M18</f>
        <v/>
      </c>
      <c r="O18" s="158">
        <f>(N17*$N$6)/12</f>
        <v/>
      </c>
      <c r="P18" s="158">
        <f>L18-M18-O18</f>
        <v/>
      </c>
    </row>
    <row r="19">
      <c r="B19" s="157" t="n">
        <v>6</v>
      </c>
      <c r="C19" s="158">
        <f>C18</f>
        <v/>
      </c>
      <c r="D19" s="158" t="n"/>
      <c r="E19" s="158" t="n"/>
      <c r="F19" s="158" t="n"/>
      <c r="G19" s="158">
        <f>G18</f>
        <v/>
      </c>
      <c r="H19" s="158">
        <f>H18</f>
        <v/>
      </c>
      <c r="I19" s="158" t="n"/>
      <c r="J19" s="158" t="n"/>
      <c r="K19" s="158" t="n"/>
      <c r="L19" s="158">
        <f>SUM(C19:K19)</f>
        <v/>
      </c>
      <c r="M19" s="158">
        <f>M18</f>
        <v/>
      </c>
      <c r="N19" s="158">
        <f>N18-M19</f>
        <v/>
      </c>
      <c r="O19" s="158">
        <f>(N18*$N$6)/12</f>
        <v/>
      </c>
      <c r="P19" s="158">
        <f>L19-M19-O19</f>
        <v/>
      </c>
    </row>
    <row r="20">
      <c r="B20" s="157" t="n">
        <v>7</v>
      </c>
      <c r="C20" s="158">
        <f>C19</f>
        <v/>
      </c>
      <c r="D20" s="158" t="n"/>
      <c r="E20" s="158" t="n"/>
      <c r="F20" s="158" t="n"/>
      <c r="G20" s="158">
        <f>G19</f>
        <v/>
      </c>
      <c r="H20" s="158">
        <f>H19</f>
        <v/>
      </c>
      <c r="I20" s="158" t="n"/>
      <c r="J20" s="158" t="n"/>
      <c r="K20" s="158" t="n"/>
      <c r="L20" s="158">
        <f>SUM(C20:K20)</f>
        <v/>
      </c>
      <c r="M20" s="158">
        <f>M19</f>
        <v/>
      </c>
      <c r="N20" s="158">
        <f>N19-M20</f>
        <v/>
      </c>
      <c r="O20" s="158">
        <f>(N19*$N$6)/12</f>
        <v/>
      </c>
      <c r="P20" s="158">
        <f>L20-M20-O20</f>
        <v/>
      </c>
    </row>
    <row r="21">
      <c r="B21" s="157" t="n">
        <v>8</v>
      </c>
      <c r="C21" s="158">
        <f>C20</f>
        <v/>
      </c>
      <c r="D21" s="158" t="n"/>
      <c r="E21" s="158" t="n"/>
      <c r="F21" s="158" t="n"/>
      <c r="G21" s="158">
        <f>G20</f>
        <v/>
      </c>
      <c r="H21" s="158">
        <f>H20</f>
        <v/>
      </c>
      <c r="I21" s="158" t="n"/>
      <c r="J21" s="158" t="n"/>
      <c r="K21" s="158" t="n"/>
      <c r="L21" s="158">
        <f>SUM(C21:K21)</f>
        <v/>
      </c>
      <c r="M21" s="158">
        <f>M20</f>
        <v/>
      </c>
      <c r="N21" s="158">
        <f>N20-M21</f>
        <v/>
      </c>
      <c r="O21" s="158">
        <f>(N20*$N$6)/12</f>
        <v/>
      </c>
      <c r="P21" s="158">
        <f>L21-M21-O21</f>
        <v/>
      </c>
    </row>
    <row r="22">
      <c r="B22" s="157" t="n">
        <v>9</v>
      </c>
      <c r="C22" s="158">
        <f>C21</f>
        <v/>
      </c>
      <c r="D22" s="158" t="n"/>
      <c r="E22" s="158" t="n"/>
      <c r="F22" s="158" t="n"/>
      <c r="G22" s="158">
        <f>G21</f>
        <v/>
      </c>
      <c r="H22" s="158">
        <f>H21</f>
        <v/>
      </c>
      <c r="I22" s="158" t="n"/>
      <c r="J22" s="158" t="n"/>
      <c r="K22" s="158" t="n"/>
      <c r="L22" s="158">
        <f>SUM(C22:K22)</f>
        <v/>
      </c>
      <c r="M22" s="158">
        <f>M21</f>
        <v/>
      </c>
      <c r="N22" s="158">
        <f>N21-M22</f>
        <v/>
      </c>
      <c r="O22" s="158">
        <f>(N21*$N$6)/12</f>
        <v/>
      </c>
      <c r="P22" s="158">
        <f>L22-M22-O22</f>
        <v/>
      </c>
    </row>
    <row r="23">
      <c r="B23" s="157" t="n">
        <v>10</v>
      </c>
      <c r="C23" s="158">
        <f>C22</f>
        <v/>
      </c>
      <c r="D23" s="158" t="n"/>
      <c r="E23" s="158" t="n"/>
      <c r="F23" s="158" t="n"/>
      <c r="G23" s="158">
        <f>G22</f>
        <v/>
      </c>
      <c r="H23" s="158">
        <f>H22</f>
        <v/>
      </c>
      <c r="I23" s="158" t="n"/>
      <c r="J23" s="158" t="n"/>
      <c r="K23" s="158" t="n"/>
      <c r="L23" s="158">
        <f>SUM(C23:K23)</f>
        <v/>
      </c>
      <c r="M23" s="158">
        <f>M22</f>
        <v/>
      </c>
      <c r="N23" s="158">
        <f>N22-M23</f>
        <v/>
      </c>
      <c r="O23" s="158">
        <f>(N22*$N$6)/12</f>
        <v/>
      </c>
      <c r="P23" s="158">
        <f>L23-M23-O23</f>
        <v/>
      </c>
    </row>
    <row r="24">
      <c r="B24" s="157" t="n">
        <v>11</v>
      </c>
      <c r="C24" s="158">
        <f>C23</f>
        <v/>
      </c>
      <c r="D24" s="158" t="n"/>
      <c r="E24" s="158" t="n"/>
      <c r="F24" s="158" t="n"/>
      <c r="G24" s="158">
        <f>G23</f>
        <v/>
      </c>
      <c r="H24" s="158">
        <f>H23</f>
        <v/>
      </c>
      <c r="I24" s="158" t="n"/>
      <c r="J24" s="158" t="n"/>
      <c r="K24" s="158" t="n"/>
      <c r="L24" s="158">
        <f>SUM(C24:K24)</f>
        <v/>
      </c>
      <c r="M24" s="158">
        <f>M23</f>
        <v/>
      </c>
      <c r="N24" s="158">
        <f>N23-M24</f>
        <v/>
      </c>
      <c r="O24" s="158">
        <f>(N23*$N$6)/12</f>
        <v/>
      </c>
      <c r="P24" s="158">
        <f>L24-M24-O24</f>
        <v/>
      </c>
    </row>
    <row r="25">
      <c r="B25" s="157" t="n">
        <v>12</v>
      </c>
      <c r="C25" s="158">
        <f>C24</f>
        <v/>
      </c>
      <c r="D25" s="158" t="n"/>
      <c r="E25" s="158" t="n"/>
      <c r="F25" s="158" t="n"/>
      <c r="G25" s="158">
        <f>G24</f>
        <v/>
      </c>
      <c r="H25" s="158">
        <f>H24</f>
        <v/>
      </c>
      <c r="I25" s="158" t="n"/>
      <c r="J25" s="158" t="n"/>
      <c r="K25" s="160" t="n"/>
      <c r="L25" s="158">
        <f>SUM(C25:K25)</f>
        <v/>
      </c>
      <c r="M25" s="158">
        <f>M24</f>
        <v/>
      </c>
      <c r="N25" s="158">
        <f>N24-M25</f>
        <v/>
      </c>
      <c r="O25" s="158">
        <f>(N24*$N$6)/12</f>
        <v/>
      </c>
      <c r="P25" s="158">
        <f>L25-M25-O25</f>
        <v/>
      </c>
    </row>
    <row r="26">
      <c r="B26" s="157" t="n">
        <v>13</v>
      </c>
      <c r="C26" s="158" t="n"/>
      <c r="D26" s="158" t="n"/>
      <c r="E26" s="158" t="n"/>
      <c r="F26" s="158" t="n"/>
      <c r="G26" s="158" t="n"/>
      <c r="H26" s="158" t="n"/>
      <c r="I26" s="158" t="n"/>
      <c r="J26" s="158" t="n"/>
      <c r="K26" s="158" t="n"/>
      <c r="L26" s="158">
        <f>SUM(C26:K26)</f>
        <v/>
      </c>
      <c r="M26" s="158" t="n"/>
      <c r="N26" s="158" t="n"/>
      <c r="O26" s="158" t="n"/>
      <c r="P26" s="158">
        <f>L26-M26-O26</f>
        <v/>
      </c>
    </row>
    <row r="27">
      <c r="B27" s="57" t="n"/>
      <c r="C27" s="161" t="n"/>
      <c r="D27" s="161" t="n"/>
      <c r="E27" s="161" t="n"/>
      <c r="F27" s="161" t="n"/>
      <c r="G27" s="161" t="n"/>
      <c r="H27" s="161" t="n"/>
      <c r="I27" s="161" t="n"/>
      <c r="J27" s="161" t="n"/>
      <c r="K27" s="161" t="n"/>
      <c r="L27" s="161" t="n"/>
      <c r="M27" s="161" t="n"/>
      <c r="N27" s="161" t="n"/>
      <c r="O27" s="161" t="n"/>
      <c r="P27" s="161">
        <f>SUM(P14:P26)</f>
        <v/>
      </c>
    </row>
    <row r="28">
      <c r="H28" s="143" t="n"/>
      <c r="J28" s="155" t="n"/>
    </row>
  </sheetData>
  <mergeCells count="1">
    <mergeCell ref="B2:P2"/>
  </mergeCells>
  <pageMargins left="0.7" right="0.7" top="0.75" bottom="0.75" header="0.3" footer="0.3"/>
  <pageSetup orientation="portrait" paperSize="9" horizontalDpi="300" verticalDpi="30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2025-07-04T01:34:43Z</dcterms:created>
  <dcterms:modified xsi:type="dcterms:W3CDTF">2026-06-16T02:30:17Z</dcterms:modified>
  <cp:lastModifiedBy>권종훈</cp:lastModifiedBy>
</cp:coreProperties>
</file>