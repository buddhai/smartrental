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1" autoFilterDateGrouping="1"/>
  </bookViews>
  <sheets>
    <sheet name="체크_36개월" sheetId="1" state="visible" r:id="rId1"/>
    <sheet name="수익률_36개월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_-* #,##0.00_-;\-* #,##0.00_-;_-* &quot;-&quot;??_-;_-@_-"/>
    <numFmt numFmtId="166" formatCode="&quot;₩&quot;#,##0_);[Red]\(&quot;₩&quot;#,##0\)"/>
    <numFmt numFmtId="167" formatCode="0.0%"/>
  </numFmts>
  <fonts count="1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2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b val="1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theme="1"/>
      <sz val="22"/>
      <scheme val="minor"/>
    </font>
    <font>
      <name val="맑은 고딕"/>
      <charset val="129"/>
      <family val="2"/>
      <b val="1"/>
      <color theme="0"/>
      <sz val="9"/>
      <scheme val="minor"/>
    </font>
    <font>
      <name val="돋움"/>
      <charset val="129"/>
      <family val="3"/>
      <color indexed="81"/>
      <sz val="9"/>
    </font>
    <font>
      <name val="Tahoma"/>
      <family val="2"/>
      <color indexed="81"/>
      <sz val="9"/>
    </font>
  </fonts>
  <fills count="10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17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5" fillId="0" borderId="0" applyAlignment="1" pivotButton="0" quotePrefix="0" xfId="1">
      <alignment vertical="center"/>
    </xf>
    <xf numFmtId="0" fontId="6" fillId="2" borderId="2" applyAlignment="1" pivotButton="0" quotePrefix="0" xfId="0">
      <alignment horizontal="center" vertical="center"/>
    </xf>
    <xf numFmtId="164" fontId="7" fillId="0" borderId="3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0" fontId="7" fillId="0" borderId="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/>
    </xf>
    <xf numFmtId="9" fontId="7" fillId="0" borderId="3" applyAlignment="1" pivotButton="0" quotePrefix="0" xfId="0">
      <alignment vertical="center"/>
    </xf>
    <xf numFmtId="0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1">
      <alignment vertical="center"/>
    </xf>
    <xf numFmtId="165" fontId="7" fillId="0" borderId="0" applyAlignment="1" pivotButton="0" quotePrefix="0" xfId="0">
      <alignment vertical="center"/>
    </xf>
    <xf numFmtId="164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0">
      <alignment vertical="center"/>
    </xf>
    <xf numFmtId="10" fontId="7" fillId="0" borderId="5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0" fontId="7" fillId="0" borderId="5" applyAlignment="1" pivotButton="0" quotePrefix="0" xfId="0">
      <alignment vertical="center"/>
    </xf>
    <xf numFmtId="0" fontId="9" fillId="2" borderId="6" applyAlignment="1" pivotButton="0" quotePrefix="0" xfId="0">
      <alignment horizontal="center" vertical="center"/>
    </xf>
    <xf numFmtId="164" fontId="7" fillId="0" borderId="7" applyAlignment="1" pivotButton="0" quotePrefix="0" xfId="1">
      <alignment horizontal="center" vertical="center"/>
    </xf>
    <xf numFmtId="10" fontId="7" fillId="0" borderId="7" applyAlignment="1" pivotButton="0" quotePrefix="0" xfId="2">
      <alignment vertical="center"/>
    </xf>
    <xf numFmtId="10" fontId="7" fillId="0" borderId="0" applyAlignment="1" pivotButton="0" quotePrefix="0" xfId="2">
      <alignment vertical="center"/>
    </xf>
    <xf numFmtId="164" fontId="7" fillId="0" borderId="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2" fillId="4" borderId="14" applyAlignment="1" pivotButton="0" quotePrefix="0" xfId="0">
      <alignment horizontal="center" vertical="center"/>
    </xf>
    <xf numFmtId="164" fontId="12" fillId="4" borderId="15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0" fontId="12" fillId="4" borderId="17" applyAlignment="1" pivotButton="0" quotePrefix="0" xfId="0">
      <alignment horizontal="center" vertical="center" wrapText="1"/>
    </xf>
    <xf numFmtId="0" fontId="12" fillId="4" borderId="15" applyAlignment="1" pivotButton="0" quotePrefix="0" xfId="0">
      <alignment horizontal="center" vertical="center" wrapText="1"/>
    </xf>
    <xf numFmtId="0" fontId="12" fillId="4" borderId="18" applyAlignment="1" pivotButton="0" quotePrefix="0" xfId="0">
      <alignment horizontal="center" vertical="center" wrapText="1"/>
    </xf>
    <xf numFmtId="0" fontId="12" fillId="4" borderId="19" applyAlignment="1" pivotButton="0" quotePrefix="0" xfId="0">
      <alignment horizontal="center" vertical="center" wrapText="1"/>
    </xf>
    <xf numFmtId="0" fontId="12" fillId="4" borderId="14" applyAlignment="1" pivotButton="0" quotePrefix="0" xfId="0">
      <alignment horizontal="center" vertical="center" wrapText="1"/>
    </xf>
    <xf numFmtId="0" fontId="12" fillId="4" borderId="16" applyAlignment="1" pivotButton="0" quotePrefix="0" xfId="0">
      <alignment horizontal="center" vertical="center" wrapText="1"/>
    </xf>
    <xf numFmtId="0" fontId="12" fillId="4" borderId="20" applyAlignment="1" pivotButton="0" quotePrefix="0" xfId="0">
      <alignment horizontal="center" vertical="center" wrapText="1"/>
    </xf>
    <xf numFmtId="0" fontId="12" fillId="4" borderId="2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/>
    </xf>
    <xf numFmtId="164" fontId="7" fillId="0" borderId="22" applyAlignment="1" pivotButton="0" quotePrefix="0" xfId="1">
      <alignment horizontal="center" vertical="center"/>
    </xf>
    <xf numFmtId="10" fontId="7" fillId="5" borderId="23" applyAlignment="1" pivotButton="0" quotePrefix="0" xfId="2">
      <alignment horizontal="center" vertical="center"/>
    </xf>
    <xf numFmtId="10" fontId="7" fillId="3" borderId="22" applyAlignment="1" pivotButton="0" quotePrefix="0" xfId="2">
      <alignment horizontal="center" vertical="center"/>
    </xf>
    <xf numFmtId="164" fontId="9" fillId="6" borderId="24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0" fontId="7" fillId="5" borderId="19" applyAlignment="1" pivotButton="0" quotePrefix="0" xfId="2">
      <alignment horizontal="center" vertical="center"/>
    </xf>
    <xf numFmtId="164" fontId="7" fillId="0" borderId="14" applyAlignment="1" pivotButton="0" quotePrefix="0" xfId="1">
      <alignment horizontal="center" vertical="center"/>
    </xf>
    <xf numFmtId="164" fontId="7" fillId="7" borderId="23" applyAlignment="1" pivotButton="0" quotePrefix="0" xfId="1">
      <alignment horizontal="center" vertical="center"/>
    </xf>
    <xf numFmtId="164" fontId="7" fillId="7" borderId="17" applyAlignment="1" pivotButton="0" quotePrefix="0" xfId="1">
      <alignment horizontal="center" vertical="center"/>
    </xf>
    <xf numFmtId="164" fontId="7" fillId="0" borderId="25" applyAlignment="1" pivotButton="0" quotePrefix="0" xfId="1">
      <alignment horizontal="center" vertical="center"/>
    </xf>
    <xf numFmtId="10" fontId="7" fillId="0" borderId="18" applyAlignment="1" pivotButton="0" quotePrefix="0" xfId="2">
      <alignment horizontal="center" vertical="center"/>
    </xf>
    <xf numFmtId="38" fontId="7" fillId="7" borderId="19" applyAlignment="1" pivotButton="0" quotePrefix="0" xfId="2">
      <alignment horizontal="center" vertical="center"/>
    </xf>
    <xf numFmtId="164" fontId="4" fillId="0" borderId="0" applyAlignment="1" pivotButton="0" quotePrefix="0" xfId="0">
      <alignment vertical="center"/>
    </xf>
    <xf numFmtId="164" fontId="4" fillId="0" borderId="0" applyAlignment="1" pivotButton="0" quotePrefix="0" xfId="1">
      <alignment vertical="center"/>
    </xf>
    <xf numFmtId="9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166" fontId="9" fillId="7" borderId="19" applyAlignment="1" pivotButton="0" quotePrefix="0" xfId="0">
      <alignment horizontal="center" vertical="center"/>
    </xf>
    <xf numFmtId="0" fontId="14" fillId="4" borderId="19" applyAlignment="1" pivotButton="0" quotePrefix="0" xfId="0">
      <alignment horizontal="center" vertical="center"/>
    </xf>
    <xf numFmtId="0" fontId="12" fillId="4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 wrapText="1"/>
    </xf>
    <xf numFmtId="164" fontId="9" fillId="7" borderId="19" applyAlignment="1" pivotButton="0" quotePrefix="0" xfId="1">
      <alignment horizontal="center" vertical="center"/>
    </xf>
    <xf numFmtId="164" fontId="7" fillId="0" borderId="19" applyAlignment="1" pivotButton="0" quotePrefix="0" xfId="1">
      <alignment horizontal="center" vertical="center"/>
    </xf>
    <xf numFmtId="10" fontId="7" fillId="0" borderId="19" applyAlignment="1" pivotButton="0" quotePrefix="0" xfId="0">
      <alignment horizontal="center" vertical="center"/>
    </xf>
    <xf numFmtId="10" fontId="9" fillId="7" borderId="19" applyAlignment="1" pivotButton="0" quotePrefix="0" xfId="0">
      <alignment horizontal="center" vertical="center"/>
    </xf>
    <xf numFmtId="166" fontId="7" fillId="0" borderId="19" applyAlignment="1" pivotButton="0" quotePrefix="0" xfId="0">
      <alignment horizontal="center" vertical="center"/>
    </xf>
    <xf numFmtId="10" fontId="7" fillId="0" borderId="19" applyAlignment="1" pivotButton="0" quotePrefix="0" xfId="2">
      <alignment horizontal="center" vertical="center"/>
    </xf>
    <xf numFmtId="167" fontId="7" fillId="0" borderId="1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0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2">
      <alignment horizontal="center" vertical="center"/>
    </xf>
    <xf numFmtId="9" fontId="7" fillId="0" borderId="0" applyAlignment="1" pivotButton="0" quotePrefix="0" xfId="0">
      <alignment horizontal="center" vertical="center"/>
    </xf>
    <xf numFmtId="10" fontId="7" fillId="0" borderId="0" applyAlignment="1" pivotButton="0" quotePrefix="0" xfId="2">
      <alignment horizontal="center" vertical="center"/>
    </xf>
    <xf numFmtId="0" fontId="7" fillId="8" borderId="26" applyAlignment="1" pivotButton="0" quotePrefix="0" xfId="0">
      <alignment horizontal="center" vertical="center"/>
    </xf>
    <xf numFmtId="0" fontId="7" fillId="8" borderId="26" applyAlignment="1" pivotButton="0" quotePrefix="0" xfId="0">
      <alignment horizontal="center" vertical="center" wrapText="1"/>
    </xf>
    <xf numFmtId="166" fontId="8" fillId="8" borderId="26" applyAlignment="1" pivotButton="0" quotePrefix="0" xfId="0">
      <alignment horizontal="center" vertical="center"/>
    </xf>
    <xf numFmtId="164" fontId="7" fillId="8" borderId="26" applyAlignment="1" pivotButton="0" quotePrefix="0" xfId="1">
      <alignment horizontal="center" vertical="center"/>
    </xf>
    <xf numFmtId="164" fontId="7" fillId="8" borderId="26" applyAlignment="1" pivotButton="0" quotePrefix="0" xfId="1">
      <alignment horizontal="center" vertical="center" wrapText="1"/>
    </xf>
    <xf numFmtId="164" fontId="7" fillId="8" borderId="19" applyAlignment="1" pivotButton="0" quotePrefix="0" xfId="1">
      <alignment horizontal="center" vertical="center" wrapText="1"/>
    </xf>
    <xf numFmtId="164" fontId="7" fillId="9" borderId="19" applyAlignment="1" pivotButton="0" quotePrefix="0" xfId="1">
      <alignment horizontal="center" vertical="center"/>
    </xf>
    <xf numFmtId="164" fontId="7" fillId="9" borderId="19" applyAlignment="1" pivotButton="0" quotePrefix="0" xfId="1">
      <alignment horizontal="center" vertical="center" wrapText="1"/>
    </xf>
    <xf numFmtId="164" fontId="8" fillId="9" borderId="19" applyAlignment="1" pivotButton="0" quotePrefix="0" xfId="1">
      <alignment horizontal="center" vertical="center"/>
    </xf>
    <xf numFmtId="9" fontId="7" fillId="9" borderId="19" applyAlignment="1" pivotButton="0" quotePrefix="0" xfId="1">
      <alignment horizontal="center" vertical="center"/>
    </xf>
    <xf numFmtId="10" fontId="8" fillId="0" borderId="19" applyAlignment="1" pivotButton="0" quotePrefix="0" xfId="0">
      <alignment horizontal="center" vertical="center"/>
    </xf>
    <xf numFmtId="166" fontId="8" fillId="0" borderId="19" applyAlignment="1" pivotButton="0" quotePrefix="0" xfId="1">
      <alignment vertical="center"/>
    </xf>
    <xf numFmtId="9" fontId="7" fillId="0" borderId="19" applyAlignment="1" pivotButton="0" quotePrefix="0" xfId="2">
      <alignment horizontal="center" vertical="center"/>
    </xf>
    <xf numFmtId="10" fontId="8" fillId="0" borderId="0" applyAlignment="1" pivotButton="0" quotePrefix="0" xfId="2">
      <alignment vertical="center"/>
    </xf>
    <xf numFmtId="164" fontId="8" fillId="0" borderId="0" applyAlignment="1" pivotButton="0" quotePrefix="0" xfId="1">
      <alignment vertical="center"/>
    </xf>
    <xf numFmtId="166" fontId="7" fillId="7" borderId="0" applyAlignment="1" pivotButton="0" quotePrefix="0" xfId="0">
      <alignment vertical="center"/>
    </xf>
    <xf numFmtId="0" fontId="9" fillId="0" borderId="19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10" fontId="9" fillId="0" borderId="19" applyAlignment="1" pivotButton="0" quotePrefix="0" xfId="2">
      <alignment horizontal="center" vertical="center"/>
    </xf>
    <xf numFmtId="166" fontId="7" fillId="0" borderId="19" applyAlignment="1" pivotButton="0" quotePrefix="0" xfId="0">
      <alignment vertical="center"/>
    </xf>
    <xf numFmtId="166" fontId="7" fillId="0" borderId="0" applyAlignment="1" pivotButton="0" quotePrefix="0" xfId="0">
      <alignment vertical="center"/>
    </xf>
    <xf numFmtId="166" fontId="7" fillId="0" borderId="27" applyAlignment="1" pivotButton="0" quotePrefix="0" xfId="0">
      <alignment vertical="center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164" fontId="5" fillId="0" borderId="0" applyAlignment="1" pivotButton="0" quotePrefix="0" xfId="1">
      <alignment vertical="center"/>
    </xf>
    <xf numFmtId="0" fontId="0" fillId="0" borderId="0" pivotButton="0" quotePrefix="0" xfId="0"/>
    <xf numFmtId="164" fontId="7" fillId="0" borderId="3" applyAlignment="1" pivotButton="0" quotePrefix="0" xfId="1">
      <alignment vertical="center"/>
    </xf>
    <xf numFmtId="164" fontId="7" fillId="0" borderId="0" applyAlignment="1" pivotButton="0" quotePrefix="0" xfId="1">
      <alignment vertical="center"/>
    </xf>
    <xf numFmtId="164" fontId="7" fillId="0" borderId="5" applyAlignment="1" pivotButton="0" quotePrefix="0" xfId="1">
      <alignment vertical="center"/>
    </xf>
    <xf numFmtId="165" fontId="7" fillId="0" borderId="0" applyAlignment="1" pivotButton="0" quotePrefix="0" xfId="0">
      <alignment vertical="center"/>
    </xf>
    <xf numFmtId="164" fontId="9" fillId="2" borderId="4" applyAlignment="1" pivotButton="0" quotePrefix="0" xfId="0">
      <alignment horizontal="center" vertical="center"/>
    </xf>
    <xf numFmtId="164" fontId="7" fillId="0" borderId="5" applyAlignment="1" pivotButton="0" quotePrefix="0" xfId="0">
      <alignment vertical="center"/>
    </xf>
    <xf numFmtId="164" fontId="7" fillId="0" borderId="7" applyAlignment="1" pivotButton="0" quotePrefix="0" xfId="1">
      <alignment horizontal="center" vertical="center"/>
    </xf>
    <xf numFmtId="164" fontId="7" fillId="0" borderId="7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0" fillId="0" borderId="2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1" fillId="3" borderId="3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2" fillId="4" borderId="15" applyAlignment="1" pivotButton="0" quotePrefix="0" xfId="1">
      <alignment horizontal="center" vertical="center" wrapText="1"/>
    </xf>
    <xf numFmtId="164" fontId="12" fillId="4" borderId="16" applyAlignment="1" pivotButton="0" quotePrefix="0" xfId="1">
      <alignment horizontal="center" vertical="center" wrapText="1"/>
    </xf>
    <xf numFmtId="164" fontId="7" fillId="0" borderId="22" applyAlignment="1" pivotButton="0" quotePrefix="0" xfId="1">
      <alignment horizontal="center" vertical="center"/>
    </xf>
    <xf numFmtId="164" fontId="9" fillId="6" borderId="24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64" fontId="7" fillId="0" borderId="14" applyAlignment="1" pivotButton="0" quotePrefix="0" xfId="1">
      <alignment horizontal="center" vertical="center"/>
    </xf>
    <xf numFmtId="164" fontId="7" fillId="7" borderId="23" applyAlignment="1" pivotButton="0" quotePrefix="0" xfId="1">
      <alignment horizontal="center" vertical="center"/>
    </xf>
    <xf numFmtId="164" fontId="7" fillId="7" borderId="17" applyAlignment="1" pivotButton="0" quotePrefix="0" xfId="1">
      <alignment horizontal="center" vertical="center"/>
    </xf>
    <xf numFmtId="164" fontId="7" fillId="0" borderId="25" applyAlignment="1" pivotButton="0" quotePrefix="0" xfId="1">
      <alignment horizontal="center" vertical="center"/>
    </xf>
    <xf numFmtId="164" fontId="4" fillId="0" borderId="0" applyAlignment="1" pivotButton="0" quotePrefix="0" xfId="0">
      <alignment vertical="center"/>
    </xf>
    <xf numFmtId="164" fontId="7" fillId="0" borderId="22" applyAlignment="1" pivotButton="0" quotePrefix="0" xfId="0">
      <alignment horizontal="center" vertical="center"/>
    </xf>
    <xf numFmtId="10" fontId="7" fillId="5" borderId="23" applyAlignment="1" pivotButton="0" quotePrefix="0" xfId="0">
      <alignment horizontal="center" vertical="center"/>
    </xf>
    <xf numFmtId="10" fontId="7" fillId="3" borderId="22" applyAlignment="1" pivotButton="0" quotePrefix="0" xfId="0">
      <alignment horizontal="center" vertical="center"/>
    </xf>
    <xf numFmtId="164" fontId="9" fillId="6" borderId="24" applyAlignment="1" pivotButton="0" quotePrefix="0" xfId="0">
      <alignment horizontal="center" vertical="center"/>
    </xf>
    <xf numFmtId="164" fontId="7" fillId="0" borderId="18" applyAlignment="1" pivotButton="0" quotePrefix="0" xfId="0">
      <alignment horizontal="center" vertical="center"/>
    </xf>
    <xf numFmtId="10" fontId="7" fillId="5" borderId="19" applyAlignment="1" pivotButton="0" quotePrefix="0" xfId="0">
      <alignment horizontal="center" vertical="center"/>
    </xf>
    <xf numFmtId="164" fontId="7" fillId="0" borderId="14" applyAlignment="1" pivotButton="0" quotePrefix="0" xfId="0">
      <alignment horizontal="center" vertical="center"/>
    </xf>
    <xf numFmtId="164" fontId="7" fillId="7" borderId="23" applyAlignment="1" pivotButton="0" quotePrefix="0" xfId="0">
      <alignment horizontal="center" vertical="center"/>
    </xf>
    <xf numFmtId="164" fontId="7" fillId="7" borderId="17" applyAlignment="1" pivotButton="0" quotePrefix="0" xfId="0">
      <alignment horizontal="center" vertical="center"/>
    </xf>
    <xf numFmtId="164" fontId="7" fillId="0" borderId="25" applyAlignment="1" pivotButton="0" quotePrefix="0" xfId="0">
      <alignment horizontal="center" vertical="center"/>
    </xf>
    <xf numFmtId="10" fontId="7" fillId="0" borderId="18" applyAlignment="1" pivotButton="0" quotePrefix="0" xfId="0">
      <alignment horizontal="center" vertical="center"/>
    </xf>
    <xf numFmtId="38" fontId="7" fillId="7" borderId="19" applyAlignment="1" pivotButton="0" quotePrefix="0" xfId="0">
      <alignment horizontal="center" vertical="center"/>
    </xf>
    <xf numFmtId="164" fontId="4" fillId="0" borderId="0" applyAlignment="1" pivotButton="0" quotePrefix="0" xfId="1">
      <alignment vertical="center"/>
    </xf>
    <xf numFmtId="0" fontId="13" fillId="0" borderId="31" applyAlignment="1" pivotButton="0" quotePrefix="0" xfId="0">
      <alignment horizontal="center" vertical="center"/>
    </xf>
    <xf numFmtId="166" fontId="9" fillId="7" borderId="19" applyAlignment="1" pivotButton="0" quotePrefix="0" xfId="0">
      <alignment horizontal="center" vertical="center"/>
    </xf>
    <xf numFmtId="164" fontId="9" fillId="7" borderId="19" applyAlignment="1" pivotButton="0" quotePrefix="0" xfId="1">
      <alignment horizontal="center" vertical="center"/>
    </xf>
    <xf numFmtId="164" fontId="7" fillId="0" borderId="19" applyAlignment="1" pivotButton="0" quotePrefix="0" xfId="1">
      <alignment horizontal="center" vertical="center"/>
    </xf>
    <xf numFmtId="166" fontId="7" fillId="0" borderId="19" applyAlignment="1" pivotButton="0" quotePrefix="0" xfId="0">
      <alignment horizontal="center" vertical="center"/>
    </xf>
    <xf numFmtId="167" fontId="7" fillId="0" borderId="19" applyAlignment="1" pivotButton="0" quotePrefix="0" xfId="0">
      <alignment horizontal="center" vertical="center"/>
    </xf>
    <xf numFmtId="166" fontId="8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166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2">
      <alignment horizontal="center" vertical="center"/>
    </xf>
    <xf numFmtId="166" fontId="8" fillId="8" borderId="26" applyAlignment="1" pivotButton="0" quotePrefix="0" xfId="0">
      <alignment horizontal="center" vertical="center"/>
    </xf>
    <xf numFmtId="164" fontId="7" fillId="8" borderId="26" applyAlignment="1" pivotButton="0" quotePrefix="0" xfId="1">
      <alignment horizontal="center" vertical="center"/>
    </xf>
    <xf numFmtId="164" fontId="7" fillId="8" borderId="26" applyAlignment="1" pivotButton="0" quotePrefix="0" xfId="1">
      <alignment horizontal="center" vertical="center" wrapText="1"/>
    </xf>
    <xf numFmtId="164" fontId="7" fillId="8" borderId="19" applyAlignment="1" pivotButton="0" quotePrefix="0" xfId="1">
      <alignment horizontal="center" vertical="center" wrapText="1"/>
    </xf>
    <xf numFmtId="164" fontId="7" fillId="9" borderId="19" applyAlignment="1" pivotButton="0" quotePrefix="0" xfId="1">
      <alignment horizontal="center" vertical="center"/>
    </xf>
    <xf numFmtId="164" fontId="7" fillId="9" borderId="19" applyAlignment="1" pivotButton="0" quotePrefix="0" xfId="1">
      <alignment horizontal="center" vertical="center" wrapText="1"/>
    </xf>
    <xf numFmtId="164" fontId="8" fillId="9" borderId="19" applyAlignment="1" pivotButton="0" quotePrefix="0" xfId="1">
      <alignment horizontal="center" vertical="center"/>
    </xf>
    <xf numFmtId="166" fontId="8" fillId="0" borderId="19" applyAlignment="1" pivotButton="0" quotePrefix="0" xfId="1">
      <alignment vertical="center"/>
    </xf>
    <xf numFmtId="164" fontId="8" fillId="0" borderId="0" applyAlignment="1" pivotButton="0" quotePrefix="0" xfId="1">
      <alignment vertical="center"/>
    </xf>
    <xf numFmtId="166" fontId="7" fillId="7" borderId="0" applyAlignment="1" pivotButton="0" quotePrefix="0" xfId="0">
      <alignment vertical="center"/>
    </xf>
    <xf numFmtId="0" fontId="7" fillId="0" borderId="32" applyAlignment="1" pivotButton="0" quotePrefix="0" xfId="0">
      <alignment horizontal="center" vertical="center"/>
    </xf>
    <xf numFmtId="166" fontId="7" fillId="0" borderId="32" applyAlignment="1" pivotButton="0" quotePrefix="0" xfId="0">
      <alignment vertical="center"/>
    </xf>
    <xf numFmtId="0" fontId="0" fillId="0" borderId="32" pivotButton="0" quotePrefix="0" xfId="0"/>
    <xf numFmtId="166" fontId="8" fillId="0" borderId="32" applyAlignment="1" pivotButton="0" quotePrefix="0" xfId="0">
      <alignment vertical="center"/>
    </xf>
    <xf numFmtId="166" fontId="7" fillId="0" borderId="19" applyAlignment="1" pivotButton="0" quotePrefix="0" xfId="0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</author>
  </authors>
  <commentList>
    <comment ref="I8" authorId="0" shapeId="0">
      <text>
        <t>총취득가*렌탈기간의 3.80%</t>
      </text>
    </comment>
    <comment ref="J8" authorId="0" shapeId="0">
      <text>
        <t>총취득가*렌탈기간의 0.70%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/>
  </sheetPr>
  <dimension ref="A1:Q48"/>
  <sheetViews>
    <sheetView zoomScaleNormal="100" workbookViewId="0">
      <selection activeCell="F17" sqref="F17"/>
    </sheetView>
  </sheetViews>
  <sheetFormatPr baseColWidth="8" defaultColWidth="9" defaultRowHeight="15.6"/>
  <cols>
    <col width="12.09765625" bestFit="1" customWidth="1" style="2" min="1" max="1"/>
    <col width="10" bestFit="1" customWidth="1" style="109" min="2" max="3"/>
    <col width="9.69921875" customWidth="1" style="2" min="4" max="4"/>
    <col width="12.5" bestFit="1" customWidth="1" style="2" min="5" max="5"/>
    <col width="10.59765625" bestFit="1" customWidth="1" style="2" min="6" max="6"/>
    <col width="14.19921875" bestFit="1" customWidth="1" style="2" min="7" max="7"/>
    <col width="9.69921875" bestFit="1" customWidth="1" style="2" min="8" max="8"/>
    <col width="10.5" bestFit="1" customWidth="1" style="2" min="9" max="9"/>
    <col width="9.3984375" customWidth="1" style="2" min="10" max="10"/>
    <col width="10" bestFit="1" customWidth="1" style="2" min="11" max="11"/>
    <col width="10.59765625" customWidth="1" style="2" min="12" max="12"/>
    <col width="12.09765625" bestFit="1" customWidth="1" style="2" min="13" max="13"/>
    <col width="9" customWidth="1" style="2" min="14" max="14"/>
    <col width="9.3984375" bestFit="1" customWidth="1" style="2" min="15" max="15"/>
    <col width="9" customWidth="1" style="2" min="16" max="16"/>
    <col width="10.8984375" bestFit="1" customWidth="1" style="2" min="17" max="17"/>
    <col width="9" customWidth="1" style="2" min="18" max="16384"/>
  </cols>
  <sheetData>
    <row r="1" ht="33" customHeight="1" s="110">
      <c r="A1" s="101">
        <f>'수익률_36개월'!B2</f>
        <v/>
      </c>
      <c r="N1" s="1" t="n"/>
    </row>
    <row r="2" ht="16.2" customHeight="1" s="110" thickBot="1"/>
    <row r="3">
      <c r="A3" s="4" t="inlineStr">
        <is>
          <t>로봇 매입가</t>
        </is>
      </c>
      <c r="B3" s="111">
        <f>+'수익률_36개월'!G6</f>
        <v/>
      </c>
      <c r="C3" s="112" t="n"/>
      <c r="D3" s="4" t="inlineStr">
        <is>
          <t>회수율</t>
        </is>
      </c>
      <c r="E3" s="7">
        <f>+'수익률_36개월'!M6</f>
        <v/>
      </c>
      <c r="F3" s="8" t="n"/>
      <c r="G3" s="9" t="inlineStr">
        <is>
          <t>중도해지 위약금율</t>
        </is>
      </c>
      <c r="H3" s="10" t="n">
        <v>1</v>
      </c>
    </row>
    <row r="4">
      <c r="A4" s="11" t="inlineStr">
        <is>
          <t>기간</t>
        </is>
      </c>
      <c r="B4" s="113">
        <f>+'수익률_36개월'!H6</f>
        <v/>
      </c>
      <c r="C4" s="112" t="n"/>
      <c r="D4" s="11" t="inlineStr">
        <is>
          <t>월 렌탈료</t>
        </is>
      </c>
      <c r="E4" s="113">
        <f>+'수익률_36개월'!K6</f>
        <v/>
      </c>
      <c r="F4" s="114" t="n"/>
      <c r="G4" s="115" t="inlineStr">
        <is>
          <t>보험커버가능액</t>
        </is>
      </c>
      <c r="H4" s="116">
        <f>+'수익률_36개월'!K9</f>
        <v/>
      </c>
    </row>
    <row r="5">
      <c r="A5" s="11" t="inlineStr">
        <is>
          <t>이자율</t>
        </is>
      </c>
      <c r="B5" s="16">
        <f>+'수익률_36개월'!N6</f>
        <v/>
      </c>
      <c r="C5" s="112" t="n"/>
      <c r="D5" s="11" t="inlineStr">
        <is>
          <t>총 렌탈료</t>
        </is>
      </c>
      <c r="E5" s="116">
        <f>+'수익률_36개월'!L6</f>
        <v/>
      </c>
      <c r="F5" s="8" t="n"/>
      <c r="G5" s="11" t="inlineStr">
        <is>
          <t>보험가입율</t>
        </is>
      </c>
      <c r="H5" s="18">
        <f>+H4/E5</f>
        <v/>
      </c>
    </row>
    <row r="6" ht="16.2" customHeight="1" s="110" thickBot="1">
      <c r="A6" s="11" t="inlineStr">
        <is>
          <t>irr</t>
        </is>
      </c>
      <c r="B6" s="16">
        <f>+'수익률_36개월'!L12</f>
        <v/>
      </c>
      <c r="C6" s="112" t="n"/>
      <c r="D6" s="11" t="inlineStr">
        <is>
          <t>잔존가치 비율</t>
        </is>
      </c>
      <c r="E6" s="18">
        <f>+'수익률_36개월'!O6</f>
        <v/>
      </c>
      <c r="F6" s="8" t="n"/>
      <c r="G6" s="19" t="inlineStr">
        <is>
          <t>보증금</t>
        </is>
      </c>
      <c r="H6" s="117">
        <f>+'수익률_36개월'!K14</f>
        <v/>
      </c>
    </row>
    <row r="7" ht="16.2" customHeight="1" s="110" thickBot="1">
      <c r="A7" s="19" t="inlineStr">
        <is>
          <t>손익</t>
        </is>
      </c>
      <c r="B7" s="21">
        <f>+'수익률_36개월'!P6</f>
        <v/>
      </c>
      <c r="C7" s="22" t="n"/>
      <c r="D7" s="19" t="inlineStr">
        <is>
          <t>잔존가치액</t>
        </is>
      </c>
      <c r="E7" s="118">
        <f>'수익률_36개월'!J50</f>
        <v/>
      </c>
      <c r="F7" s="8" t="n"/>
      <c r="G7" s="8" t="n"/>
      <c r="H7" s="8" t="n"/>
    </row>
    <row r="8" ht="16.2" customHeight="1" s="110" thickBot="1">
      <c r="A8" s="24" t="n"/>
      <c r="B8" s="22" t="n"/>
      <c r="C8" s="22" t="n"/>
      <c r="E8" s="24" t="n"/>
      <c r="F8" s="119" t="n"/>
    </row>
    <row r="9" ht="16.2" customHeight="1" s="110" thickBot="1">
      <c r="F9" s="120" t="inlineStr">
        <is>
          <t>정상채권 상황</t>
        </is>
      </c>
      <c r="G9" s="121" t="n"/>
      <c r="H9" s="122" t="n"/>
      <c r="I9" s="123" t="inlineStr">
        <is>
          <t>부실채권 발생 상황</t>
        </is>
      </c>
      <c r="J9" s="124" t="n"/>
      <c r="K9" s="124" t="n"/>
      <c r="L9" s="125" t="n"/>
    </row>
    <row r="10" ht="26.4" customHeight="1" s="110">
      <c r="A10" s="26" t="inlineStr">
        <is>
          <t>회차</t>
        </is>
      </c>
      <c r="B10" s="126" t="inlineStr">
        <is>
          <t>누적원리금
(a)</t>
        </is>
      </c>
      <c r="C10" s="127" t="inlineStr">
        <is>
          <t>렌탈료
회수율</t>
        </is>
      </c>
      <c r="D10" s="29" t="inlineStr">
        <is>
          <t>잔존가치
비율</t>
        </is>
      </c>
      <c r="E10" s="30" t="inlineStr">
        <is>
          <t>잔존가치액</t>
        </is>
      </c>
      <c r="F10" s="31" t="inlineStr">
        <is>
          <t>회차별 회수금</t>
        </is>
      </c>
      <c r="G10" s="32" t="inlineStr">
        <is>
          <t>회수율
(매입가 대비)</t>
        </is>
      </c>
      <c r="H10" s="33" t="inlineStr">
        <is>
          <t>중도해지
위약금</t>
        </is>
      </c>
      <c r="I10" s="34" t="inlineStr">
        <is>
          <t>보험커버
가능액(d)</t>
        </is>
      </c>
      <c r="J10" s="35" t="inlineStr">
        <is>
          <t>담보액</t>
        </is>
      </c>
      <c r="K10" s="36" t="inlineStr">
        <is>
          <t>최종회수금
(c+d)=( e)</t>
        </is>
      </c>
      <c r="L10" s="32" t="inlineStr">
        <is>
          <t>회수율
(매입가 대비)</t>
        </is>
      </c>
      <c r="M10" s="32" t="inlineStr">
        <is>
          <t xml:space="preserve"> 보증필요</t>
        </is>
      </c>
    </row>
    <row r="11">
      <c r="A11" s="37" t="n">
        <v>1</v>
      </c>
      <c r="B11" s="128">
        <f>E4</f>
        <v/>
      </c>
      <c r="C11" s="39">
        <f>B11/$B$3</f>
        <v/>
      </c>
      <c r="D11" s="40" t="n">
        <v>0</v>
      </c>
      <c r="E11" s="129" t="n"/>
      <c r="F11" s="130">
        <f>B11+E11</f>
        <v/>
      </c>
      <c r="G11" s="43">
        <f>F11/$B$3</f>
        <v/>
      </c>
      <c r="H11" s="131">
        <f>$E$5-B11</f>
        <v/>
      </c>
      <c r="I11" s="132">
        <f>+$H$4</f>
        <v/>
      </c>
      <c r="J11" s="133">
        <f>$H$6</f>
        <v/>
      </c>
      <c r="K11" s="134">
        <f>F11+I11+J11</f>
        <v/>
      </c>
      <c r="L11" s="48">
        <f>K11/$B$3</f>
        <v/>
      </c>
      <c r="M11" s="49">
        <f>$B$3-K11</f>
        <v/>
      </c>
      <c r="O11" s="128" t="n">
        <v>22990000</v>
      </c>
      <c r="Q11" s="135">
        <f>O11+$P$11</f>
        <v/>
      </c>
    </row>
    <row r="12">
      <c r="A12" s="37" t="n">
        <v>2</v>
      </c>
      <c r="B12" s="128">
        <f>$B$11*A12</f>
        <v/>
      </c>
      <c r="C12" s="39">
        <f>B12/$B$3</f>
        <v/>
      </c>
      <c r="D12" s="40" t="n">
        <v>0</v>
      </c>
      <c r="E12" s="129" t="n"/>
      <c r="F12" s="130">
        <f>B12+E12</f>
        <v/>
      </c>
      <c r="G12" s="43">
        <f>F12/$B$3</f>
        <v/>
      </c>
      <c r="H12" s="131">
        <f>$E$5-B12</f>
        <v/>
      </c>
      <c r="I12" s="132">
        <f>IF(H12&gt;I11,I11,H12)</f>
        <v/>
      </c>
      <c r="J12" s="133">
        <f>$H$6</f>
        <v/>
      </c>
      <c r="K12" s="134">
        <f>F12+I12+J12</f>
        <v/>
      </c>
      <c r="L12" s="48">
        <f>K12/$B$3</f>
        <v/>
      </c>
      <c r="M12" s="49">
        <f>$B$3-K12</f>
        <v/>
      </c>
      <c r="O12" s="128" t="n">
        <v>20970000</v>
      </c>
      <c r="Q12" s="135">
        <f>O12+$P$11</f>
        <v/>
      </c>
    </row>
    <row r="13">
      <c r="A13" s="37" t="n">
        <v>3</v>
      </c>
      <c r="B13" s="128">
        <f>$B$11*A13</f>
        <v/>
      </c>
      <c r="C13" s="39">
        <f>B13/$B$3</f>
        <v/>
      </c>
      <c r="D13" s="40" t="n">
        <v>0</v>
      </c>
      <c r="E13" s="129" t="n"/>
      <c r="F13" s="130">
        <f>B13+E13</f>
        <v/>
      </c>
      <c r="G13" s="43">
        <f>F13/$B$3</f>
        <v/>
      </c>
      <c r="H13" s="131">
        <f>$E$5-B13</f>
        <v/>
      </c>
      <c r="I13" s="132">
        <f>IF(H13&gt;I12,I12,H13)</f>
        <v/>
      </c>
      <c r="J13" s="133">
        <f>$H$6</f>
        <v/>
      </c>
      <c r="K13" s="134">
        <f>F13+I13+J13</f>
        <v/>
      </c>
      <c r="L13" s="48">
        <f>K13/$B$3</f>
        <v/>
      </c>
      <c r="M13" s="49">
        <f>$B$3-K13</f>
        <v/>
      </c>
      <c r="O13" s="128" t="n">
        <v>18950000</v>
      </c>
      <c r="Q13" s="135">
        <f>O13+$P$11</f>
        <v/>
      </c>
    </row>
    <row r="14">
      <c r="A14" s="37" t="n">
        <v>4</v>
      </c>
      <c r="B14" s="128">
        <f>$B$11*A14</f>
        <v/>
      </c>
      <c r="C14" s="39">
        <f>B14/$B$3</f>
        <v/>
      </c>
      <c r="D14" s="40" t="n">
        <v>0</v>
      </c>
      <c r="E14" s="129" t="n"/>
      <c r="F14" s="130">
        <f>B14+E14</f>
        <v/>
      </c>
      <c r="G14" s="43">
        <f>F14/$B$3</f>
        <v/>
      </c>
      <c r="H14" s="131">
        <f>$E$5-B14</f>
        <v/>
      </c>
      <c r="I14" s="132">
        <f>IF(H14&gt;I13,I13,H14)</f>
        <v/>
      </c>
      <c r="J14" s="133">
        <f>$H$6</f>
        <v/>
      </c>
      <c r="K14" s="134">
        <f>F14+I14+J14</f>
        <v/>
      </c>
      <c r="L14" s="48">
        <f>K14/$B$3</f>
        <v/>
      </c>
      <c r="M14" s="49">
        <f>$B$3-K14</f>
        <v/>
      </c>
      <c r="O14" s="128" t="n">
        <v>16940000</v>
      </c>
      <c r="Q14" s="135">
        <f>O14+$P$11</f>
        <v/>
      </c>
    </row>
    <row r="15">
      <c r="A15" s="37" t="n">
        <v>5</v>
      </c>
      <c r="B15" s="128">
        <f>$B$11*A15</f>
        <v/>
      </c>
      <c r="C15" s="39">
        <f>B15/$B$3</f>
        <v/>
      </c>
      <c r="D15" s="40" t="n">
        <v>0</v>
      </c>
      <c r="E15" s="129" t="n"/>
      <c r="F15" s="130">
        <f>B15+E15</f>
        <v/>
      </c>
      <c r="G15" s="43">
        <f>F15/$B$3</f>
        <v/>
      </c>
      <c r="H15" s="131">
        <f>$E$5-B15</f>
        <v/>
      </c>
      <c r="I15" s="132">
        <f>IF(H15&gt;I14,I14,H15)</f>
        <v/>
      </c>
      <c r="J15" s="133">
        <f>$H$6</f>
        <v/>
      </c>
      <c r="K15" s="134">
        <f>F15+I15+J15</f>
        <v/>
      </c>
      <c r="L15" s="48">
        <f>K15/$B$3</f>
        <v/>
      </c>
      <c r="M15" s="49">
        <f>$B$3-K15</f>
        <v/>
      </c>
      <c r="O15" s="128" t="n">
        <v>14920000</v>
      </c>
      <c r="Q15" s="135">
        <f>O15+$P$11</f>
        <v/>
      </c>
    </row>
    <row r="16">
      <c r="A16" s="37" t="n">
        <v>6</v>
      </c>
      <c r="B16" s="128">
        <f>$B$11*A16</f>
        <v/>
      </c>
      <c r="C16" s="39">
        <f>B16/$B$3</f>
        <v/>
      </c>
      <c r="D16" s="40" t="n">
        <v>0</v>
      </c>
      <c r="E16" s="129" t="n"/>
      <c r="F16" s="130">
        <f>B16+E16</f>
        <v/>
      </c>
      <c r="G16" s="43">
        <f>F16/$B$3</f>
        <v/>
      </c>
      <c r="H16" s="131">
        <f>$E$5-B16</f>
        <v/>
      </c>
      <c r="I16" s="132">
        <f>IF(H16&gt;I15,I15,H16)</f>
        <v/>
      </c>
      <c r="J16" s="133">
        <f>$H$6</f>
        <v/>
      </c>
      <c r="K16" s="134">
        <f>F16+I16+J16</f>
        <v/>
      </c>
      <c r="L16" s="48">
        <f>K16/$B$3</f>
        <v/>
      </c>
      <c r="M16" s="49">
        <f>$B$3-K16</f>
        <v/>
      </c>
      <c r="O16" s="128" t="n">
        <v>12900000</v>
      </c>
      <c r="Q16" s="135">
        <f>O16+$P$11</f>
        <v/>
      </c>
    </row>
    <row r="17">
      <c r="A17" s="37" t="n">
        <v>7</v>
      </c>
      <c r="B17" s="128">
        <f>$B$11*A17</f>
        <v/>
      </c>
      <c r="C17" s="39">
        <f>B17/$B$3</f>
        <v/>
      </c>
      <c r="D17" s="40" t="n">
        <v>0</v>
      </c>
      <c r="E17" s="129" t="n"/>
      <c r="F17" s="130">
        <f>B17+E17</f>
        <v/>
      </c>
      <c r="G17" s="43">
        <f>F17/$B$3</f>
        <v/>
      </c>
      <c r="H17" s="131">
        <f>$E$5-B17</f>
        <v/>
      </c>
      <c r="I17" s="132">
        <f>IF(H17&gt;I16,I16,H17)</f>
        <v/>
      </c>
      <c r="J17" s="133">
        <f>$H$6</f>
        <v/>
      </c>
      <c r="K17" s="134">
        <f>F17+I17+J17</f>
        <v/>
      </c>
      <c r="L17" s="48">
        <f>K17/$B$3</f>
        <v/>
      </c>
      <c r="M17" s="49">
        <f>$B$3-K17</f>
        <v/>
      </c>
      <c r="O17" s="128" t="n">
        <v>10880000</v>
      </c>
      <c r="Q17" s="135">
        <f>O17+$P$11</f>
        <v/>
      </c>
    </row>
    <row r="18">
      <c r="A18" s="37" t="n">
        <v>8</v>
      </c>
      <c r="B18" s="128">
        <f>$B$11*A18</f>
        <v/>
      </c>
      <c r="C18" s="39">
        <f>B18/$B$3</f>
        <v/>
      </c>
      <c r="D18" s="40" t="n">
        <v>0</v>
      </c>
      <c r="E18" s="129" t="n"/>
      <c r="F18" s="130">
        <f>B18+E18</f>
        <v/>
      </c>
      <c r="G18" s="43">
        <f>F18/$B$3</f>
        <v/>
      </c>
      <c r="H18" s="131">
        <f>$E$5-B18</f>
        <v/>
      </c>
      <c r="I18" s="132">
        <f>IF(H18&gt;I17,I17,H18)</f>
        <v/>
      </c>
      <c r="J18" s="133">
        <f>$H$6</f>
        <v/>
      </c>
      <c r="K18" s="134">
        <f>F18+I18+J18</f>
        <v/>
      </c>
      <c r="L18" s="48">
        <f>K18/$B$3</f>
        <v/>
      </c>
      <c r="M18" s="49">
        <f>$B$3-K18</f>
        <v/>
      </c>
      <c r="O18" s="128" t="n">
        <v>8870000</v>
      </c>
      <c r="Q18" s="135">
        <f>O18+$P$11</f>
        <v/>
      </c>
    </row>
    <row r="19">
      <c r="A19" s="37" t="n">
        <v>9</v>
      </c>
      <c r="B19" s="128">
        <f>$B$11*A19</f>
        <v/>
      </c>
      <c r="C19" s="39">
        <f>B19/$B$3</f>
        <v/>
      </c>
      <c r="D19" s="40" t="n">
        <v>0</v>
      </c>
      <c r="E19" s="129" t="n"/>
      <c r="F19" s="130">
        <f>B19+E19</f>
        <v/>
      </c>
      <c r="G19" s="43">
        <f>F19/$B$3</f>
        <v/>
      </c>
      <c r="H19" s="131">
        <f>$E$5-B19</f>
        <v/>
      </c>
      <c r="I19" s="132">
        <f>IF(H19&gt;I18,I18,H19)</f>
        <v/>
      </c>
      <c r="J19" s="133">
        <f>$H$6</f>
        <v/>
      </c>
      <c r="K19" s="134">
        <f>F19+I19+J19</f>
        <v/>
      </c>
      <c r="L19" s="48">
        <f>K19/$B$3</f>
        <v/>
      </c>
      <c r="M19" s="49">
        <f>$B$3-K19</f>
        <v/>
      </c>
      <c r="O19" s="128" t="n">
        <v>6850000</v>
      </c>
      <c r="Q19" s="135">
        <f>O19+$P$11</f>
        <v/>
      </c>
    </row>
    <row r="20">
      <c r="A20" s="37" t="n">
        <v>10</v>
      </c>
      <c r="B20" s="128">
        <f>$B$11*A20</f>
        <v/>
      </c>
      <c r="C20" s="39">
        <f>B20/$B$3</f>
        <v/>
      </c>
      <c r="D20" s="40" t="n">
        <v>0</v>
      </c>
      <c r="E20" s="129" t="n"/>
      <c r="F20" s="130">
        <f>B20+E20</f>
        <v/>
      </c>
      <c r="G20" s="43">
        <f>F20/$B$3</f>
        <v/>
      </c>
      <c r="H20" s="131">
        <f>$E$5-B20</f>
        <v/>
      </c>
      <c r="I20" s="132">
        <f>IF(H20&gt;I19,I19,H20)</f>
        <v/>
      </c>
      <c r="J20" s="133">
        <f>$H$6</f>
        <v/>
      </c>
      <c r="K20" s="134">
        <f>F20+I20+J20</f>
        <v/>
      </c>
      <c r="L20" s="48">
        <f>K20/$B$3</f>
        <v/>
      </c>
      <c r="M20" s="49">
        <f>$B$3-K20</f>
        <v/>
      </c>
      <c r="O20" s="128" t="n">
        <v>4830000</v>
      </c>
      <c r="Q20" s="135">
        <f>O20+$P$11</f>
        <v/>
      </c>
    </row>
    <row r="21">
      <c r="A21" s="37" t="n">
        <v>11</v>
      </c>
      <c r="B21" s="128">
        <f>$B$11*A21</f>
        <v/>
      </c>
      <c r="C21" s="39">
        <f>B21/$B$3</f>
        <v/>
      </c>
      <c r="D21" s="40" t="n">
        <v>0</v>
      </c>
      <c r="E21" s="129" t="n"/>
      <c r="F21" s="130">
        <f>B21+E21</f>
        <v/>
      </c>
      <c r="G21" s="43">
        <f>F21/$B$3</f>
        <v/>
      </c>
      <c r="H21" s="131">
        <f>$E$5-B21</f>
        <v/>
      </c>
      <c r="I21" s="132">
        <f>IF(H21&gt;I20,I20,H21)</f>
        <v/>
      </c>
      <c r="J21" s="133">
        <f>$H$6</f>
        <v/>
      </c>
      <c r="K21" s="134">
        <f>F21+I21+J21</f>
        <v/>
      </c>
      <c r="L21" s="48">
        <f>K21/$B$3</f>
        <v/>
      </c>
      <c r="M21" s="49">
        <f>$B$3-K21</f>
        <v/>
      </c>
      <c r="O21" s="128" t="n">
        <v>2810000</v>
      </c>
      <c r="Q21" s="135">
        <f>O21+$P$11</f>
        <v/>
      </c>
    </row>
    <row r="22">
      <c r="A22" s="37" t="n">
        <v>12</v>
      </c>
      <c r="B22" s="128">
        <f>$B$11*A22</f>
        <v/>
      </c>
      <c r="C22" s="39">
        <f>B22/$B$3</f>
        <v/>
      </c>
      <c r="D22" s="40" t="n">
        <v>0</v>
      </c>
      <c r="E22" s="129" t="n"/>
      <c r="F22" s="130">
        <f>B22+E22</f>
        <v/>
      </c>
      <c r="G22" s="43">
        <f>F22/$B$3</f>
        <v/>
      </c>
      <c r="H22" s="131">
        <f>$E$5-B22</f>
        <v/>
      </c>
      <c r="I22" s="132">
        <f>IF(H22&gt;I21,I21,H22)</f>
        <v/>
      </c>
      <c r="J22" s="133">
        <f>$H$6</f>
        <v/>
      </c>
      <c r="K22" s="134">
        <f>F22+I22+J22</f>
        <v/>
      </c>
      <c r="L22" s="48">
        <f>K22/$B$3</f>
        <v/>
      </c>
      <c r="M22" s="49">
        <f>$B$3-K22</f>
        <v/>
      </c>
      <c r="O22" s="128" t="n">
        <v>800000</v>
      </c>
      <c r="Q22" s="135" t="n">
        <v>800000</v>
      </c>
    </row>
    <row r="23">
      <c r="A23" s="37" t="n">
        <v>13</v>
      </c>
      <c r="B23" s="136">
        <f>$B$11*A23</f>
        <v/>
      </c>
      <c r="C23" s="137">
        <f>B23/$B$3</f>
        <v/>
      </c>
      <c r="D23" s="138" t="n">
        <v>0</v>
      </c>
      <c r="E23" s="139" t="n"/>
      <c r="F23" s="140">
        <f>B23+E23</f>
        <v/>
      </c>
      <c r="G23" s="141">
        <f>F23/$B$3</f>
        <v/>
      </c>
      <c r="H23" s="142">
        <f>$E$5-B23</f>
        <v/>
      </c>
      <c r="I23" s="143">
        <f>IF(H23&gt;I22,I22,H23)</f>
        <v/>
      </c>
      <c r="J23" s="144">
        <f>$H$6</f>
        <v/>
      </c>
      <c r="K23" s="145">
        <f>F23+I23+J23</f>
        <v/>
      </c>
      <c r="L23" s="146">
        <f>K23/$B$3</f>
        <v/>
      </c>
      <c r="M23" s="147">
        <f>$B$3-K23</f>
        <v/>
      </c>
    </row>
    <row r="24">
      <c r="A24" s="37" t="n">
        <v>14</v>
      </c>
      <c r="B24" s="136">
        <f>$B$11*A24</f>
        <v/>
      </c>
      <c r="C24" s="137">
        <f>B24/$B$3</f>
        <v/>
      </c>
      <c r="D24" s="138" t="n">
        <v>0</v>
      </c>
      <c r="E24" s="139" t="n"/>
      <c r="F24" s="140">
        <f>B24+E24</f>
        <v/>
      </c>
      <c r="G24" s="141">
        <f>F24/$B$3</f>
        <v/>
      </c>
      <c r="H24" s="142">
        <f>$E$5-B24</f>
        <v/>
      </c>
      <c r="I24" s="143">
        <f>IF(H24&gt;I23,I23,H24)</f>
        <v/>
      </c>
      <c r="J24" s="144">
        <f>$H$6</f>
        <v/>
      </c>
      <c r="K24" s="145">
        <f>F24+I24+J24</f>
        <v/>
      </c>
      <c r="L24" s="146">
        <f>K24/$B$3</f>
        <v/>
      </c>
      <c r="M24" s="147">
        <f>$B$3-K24</f>
        <v/>
      </c>
    </row>
    <row r="25">
      <c r="A25" s="37" t="n">
        <v>15</v>
      </c>
      <c r="B25" s="136">
        <f>$B$11*A25</f>
        <v/>
      </c>
      <c r="C25" s="137">
        <f>B25/$B$3</f>
        <v/>
      </c>
      <c r="D25" s="138" t="n">
        <v>0</v>
      </c>
      <c r="E25" s="139" t="n"/>
      <c r="F25" s="140">
        <f>B25+E25</f>
        <v/>
      </c>
      <c r="G25" s="141">
        <f>F25/$B$3</f>
        <v/>
      </c>
      <c r="H25" s="142">
        <f>$E$5-B25</f>
        <v/>
      </c>
      <c r="I25" s="143">
        <f>IF(H25&gt;I24,I24,H25)</f>
        <v/>
      </c>
      <c r="J25" s="144">
        <f>$H$6</f>
        <v/>
      </c>
      <c r="K25" s="145">
        <f>F25+I25+J25</f>
        <v/>
      </c>
      <c r="L25" s="146">
        <f>K25/$B$3</f>
        <v/>
      </c>
      <c r="M25" s="147">
        <f>$B$3-K25</f>
        <v/>
      </c>
    </row>
    <row r="26">
      <c r="A26" s="37" t="n">
        <v>16</v>
      </c>
      <c r="B26" s="136">
        <f>$B$11*A26</f>
        <v/>
      </c>
      <c r="C26" s="137">
        <f>B26/$B$3</f>
        <v/>
      </c>
      <c r="D26" s="138" t="n">
        <v>0</v>
      </c>
      <c r="E26" s="139" t="n"/>
      <c r="F26" s="140">
        <f>B26+E26</f>
        <v/>
      </c>
      <c r="G26" s="141">
        <f>F26/$B$3</f>
        <v/>
      </c>
      <c r="H26" s="142">
        <f>$E$5-B26</f>
        <v/>
      </c>
      <c r="I26" s="143">
        <f>IF(H26&gt;I25,I25,H26)</f>
        <v/>
      </c>
      <c r="J26" s="144">
        <f>$H$6</f>
        <v/>
      </c>
      <c r="K26" s="145">
        <f>F26+I26+J26</f>
        <v/>
      </c>
      <c r="L26" s="146">
        <f>K26/$B$3</f>
        <v/>
      </c>
      <c r="M26" s="147">
        <f>$B$3-K26</f>
        <v/>
      </c>
    </row>
    <row r="27">
      <c r="A27" s="37" t="n">
        <v>17</v>
      </c>
      <c r="B27" s="136">
        <f>$B$11*A27</f>
        <v/>
      </c>
      <c r="C27" s="137">
        <f>B27/$B$3</f>
        <v/>
      </c>
      <c r="D27" s="138" t="n">
        <v>0</v>
      </c>
      <c r="E27" s="139" t="n"/>
      <c r="F27" s="140">
        <f>B27+E27</f>
        <v/>
      </c>
      <c r="G27" s="141">
        <f>F27/$B$3</f>
        <v/>
      </c>
      <c r="H27" s="142">
        <f>$E$5-B27</f>
        <v/>
      </c>
      <c r="I27" s="143">
        <f>IF(H27&gt;I26,I26,H27)</f>
        <v/>
      </c>
      <c r="J27" s="144">
        <f>$H$6</f>
        <v/>
      </c>
      <c r="K27" s="145">
        <f>F27+I27+J27</f>
        <v/>
      </c>
      <c r="L27" s="146">
        <f>K27/$B$3</f>
        <v/>
      </c>
      <c r="M27" s="147">
        <f>$B$3-K27</f>
        <v/>
      </c>
    </row>
    <row r="28">
      <c r="A28" s="37" t="n">
        <v>18</v>
      </c>
      <c r="B28" s="136">
        <f>$B$11*A28</f>
        <v/>
      </c>
      <c r="C28" s="137">
        <f>B28/$B$3</f>
        <v/>
      </c>
      <c r="D28" s="138" t="n">
        <v>0</v>
      </c>
      <c r="E28" s="139" t="n"/>
      <c r="F28" s="140">
        <f>B28+E28</f>
        <v/>
      </c>
      <c r="G28" s="141">
        <f>F28/$B$3</f>
        <v/>
      </c>
      <c r="H28" s="142">
        <f>$E$5-B28</f>
        <v/>
      </c>
      <c r="I28" s="143">
        <f>IF(H28&gt;I27,I27,H28)</f>
        <v/>
      </c>
      <c r="J28" s="144">
        <f>$H$6</f>
        <v/>
      </c>
      <c r="K28" s="145">
        <f>F28+I28+J28</f>
        <v/>
      </c>
      <c r="L28" s="146">
        <f>K28/$B$3</f>
        <v/>
      </c>
      <c r="M28" s="147">
        <f>$B$3-K28</f>
        <v/>
      </c>
    </row>
    <row r="29">
      <c r="A29" s="37" t="n">
        <v>19</v>
      </c>
      <c r="B29" s="136">
        <f>$B$11*A29</f>
        <v/>
      </c>
      <c r="C29" s="137">
        <f>B29/$B$3</f>
        <v/>
      </c>
      <c r="D29" s="138" t="n">
        <v>0</v>
      </c>
      <c r="E29" s="139" t="n"/>
      <c r="F29" s="140">
        <f>B29+E29</f>
        <v/>
      </c>
      <c r="G29" s="141">
        <f>F29/$B$3</f>
        <v/>
      </c>
      <c r="H29" s="142">
        <f>$E$5-B29</f>
        <v/>
      </c>
      <c r="I29" s="143">
        <f>IF(H29&gt;I28,I28,H29)</f>
        <v/>
      </c>
      <c r="J29" s="144">
        <f>$H$6</f>
        <v/>
      </c>
      <c r="K29" s="145">
        <f>F29+I29+J29</f>
        <v/>
      </c>
      <c r="L29" s="146">
        <f>K29/$B$3</f>
        <v/>
      </c>
      <c r="M29" s="147">
        <f>$B$3-K29</f>
        <v/>
      </c>
    </row>
    <row r="30">
      <c r="A30" s="37" t="n">
        <v>20</v>
      </c>
      <c r="B30" s="136">
        <f>$B$11*A30</f>
        <v/>
      </c>
      <c r="C30" s="137">
        <f>B30/$B$3</f>
        <v/>
      </c>
      <c r="D30" s="138" t="n">
        <v>0</v>
      </c>
      <c r="E30" s="139" t="n"/>
      <c r="F30" s="140">
        <f>B30+E30</f>
        <v/>
      </c>
      <c r="G30" s="141">
        <f>F30/$B$3</f>
        <v/>
      </c>
      <c r="H30" s="142">
        <f>$E$5-B30</f>
        <v/>
      </c>
      <c r="I30" s="143">
        <f>IF(H30&gt;I29,I29,H30)</f>
        <v/>
      </c>
      <c r="J30" s="144">
        <f>$H$6</f>
        <v/>
      </c>
      <c r="K30" s="145">
        <f>F30+I30+J30</f>
        <v/>
      </c>
      <c r="L30" s="146">
        <f>K30/$B$3</f>
        <v/>
      </c>
      <c r="M30" s="147">
        <f>$B$3-K30</f>
        <v/>
      </c>
    </row>
    <row r="31">
      <c r="A31" s="37" t="n">
        <v>21</v>
      </c>
      <c r="B31" s="136">
        <f>$B$11*A31</f>
        <v/>
      </c>
      <c r="C31" s="137">
        <f>B31/$B$3</f>
        <v/>
      </c>
      <c r="D31" s="138" t="n">
        <v>0</v>
      </c>
      <c r="E31" s="139" t="n"/>
      <c r="F31" s="140">
        <f>B31+E31</f>
        <v/>
      </c>
      <c r="G31" s="141">
        <f>F31/$B$3</f>
        <v/>
      </c>
      <c r="H31" s="142">
        <f>$E$5-B31</f>
        <v/>
      </c>
      <c r="I31" s="143">
        <f>IF(H31&gt;I30,I30,H31)</f>
        <v/>
      </c>
      <c r="J31" s="144">
        <f>$H$6</f>
        <v/>
      </c>
      <c r="K31" s="145">
        <f>F31+I31+J31</f>
        <v/>
      </c>
      <c r="L31" s="146">
        <f>K31/$B$3</f>
        <v/>
      </c>
      <c r="M31" s="147">
        <f>$B$3-K31</f>
        <v/>
      </c>
    </row>
    <row r="32">
      <c r="A32" s="37" t="n">
        <v>22</v>
      </c>
      <c r="B32" s="136">
        <f>$B$11*A32</f>
        <v/>
      </c>
      <c r="C32" s="137">
        <f>B32/$B$3</f>
        <v/>
      </c>
      <c r="D32" s="138" t="n">
        <v>0</v>
      </c>
      <c r="E32" s="139" t="n"/>
      <c r="F32" s="140">
        <f>B32+E32</f>
        <v/>
      </c>
      <c r="G32" s="141">
        <f>F32/$B$3</f>
        <v/>
      </c>
      <c r="H32" s="142">
        <f>$E$5-B32</f>
        <v/>
      </c>
      <c r="I32" s="143">
        <f>IF(H32&gt;I31,I31,H32)</f>
        <v/>
      </c>
      <c r="J32" s="144">
        <f>$H$6</f>
        <v/>
      </c>
      <c r="K32" s="145">
        <f>F32+I32+J32</f>
        <v/>
      </c>
      <c r="L32" s="146">
        <f>K32/$B$3</f>
        <v/>
      </c>
      <c r="M32" s="147">
        <f>$B$3-K32</f>
        <v/>
      </c>
    </row>
    <row r="33">
      <c r="A33" s="37" t="n">
        <v>23</v>
      </c>
      <c r="B33" s="136">
        <f>$B$11*A33</f>
        <v/>
      </c>
      <c r="C33" s="137">
        <f>B33/$B$3</f>
        <v/>
      </c>
      <c r="D33" s="138" t="n">
        <v>0</v>
      </c>
      <c r="E33" s="139" t="n"/>
      <c r="F33" s="140">
        <f>B33+E33</f>
        <v/>
      </c>
      <c r="G33" s="141">
        <f>F33/$B$3</f>
        <v/>
      </c>
      <c r="H33" s="142">
        <f>$E$5-B33</f>
        <v/>
      </c>
      <c r="I33" s="143">
        <f>IF(H33&gt;I32,I32,H33)</f>
        <v/>
      </c>
      <c r="J33" s="144">
        <f>$H$6</f>
        <v/>
      </c>
      <c r="K33" s="145">
        <f>F33+I33+J33</f>
        <v/>
      </c>
      <c r="L33" s="146">
        <f>K33/$B$3</f>
        <v/>
      </c>
      <c r="M33" s="147">
        <f>$B$3-K33</f>
        <v/>
      </c>
    </row>
    <row r="34">
      <c r="A34" s="37" t="n">
        <v>24</v>
      </c>
      <c r="B34" s="136">
        <f>$B$11*A34</f>
        <v/>
      </c>
      <c r="C34" s="137">
        <f>B34/$B$3</f>
        <v/>
      </c>
      <c r="D34" s="138" t="n">
        <v>0</v>
      </c>
      <c r="E34" s="139" t="n"/>
      <c r="F34" s="140">
        <f>B34+E34</f>
        <v/>
      </c>
      <c r="G34" s="141">
        <f>F34/$B$3</f>
        <v/>
      </c>
      <c r="H34" s="142">
        <f>$E$5-B34</f>
        <v/>
      </c>
      <c r="I34" s="143">
        <f>IF(H34&gt;I33,I33,H34)</f>
        <v/>
      </c>
      <c r="J34" s="144">
        <f>$H$6</f>
        <v/>
      </c>
      <c r="K34" s="145">
        <f>F34+I34+J34</f>
        <v/>
      </c>
      <c r="L34" s="146">
        <f>K34/$B$3</f>
        <v/>
      </c>
      <c r="M34" s="147">
        <f>$B$3-K34</f>
        <v/>
      </c>
    </row>
    <row r="35">
      <c r="A35" s="37" t="n">
        <v>25</v>
      </c>
      <c r="B35" s="136">
        <f>$B$11*A35</f>
        <v/>
      </c>
      <c r="C35" s="137">
        <f>B35/$B$3</f>
        <v/>
      </c>
      <c r="D35" s="138" t="n">
        <v>0</v>
      </c>
      <c r="E35" s="139" t="n"/>
      <c r="F35" s="140">
        <f>B35+E35</f>
        <v/>
      </c>
      <c r="G35" s="141">
        <f>F35/$B$3</f>
        <v/>
      </c>
      <c r="H35" s="142">
        <f>$E$5-B35</f>
        <v/>
      </c>
      <c r="I35" s="143">
        <f>IF(H35&gt;I34,I34,H35)</f>
        <v/>
      </c>
      <c r="J35" s="144">
        <f>$H$6</f>
        <v/>
      </c>
      <c r="K35" s="145">
        <f>F35+I35+J35</f>
        <v/>
      </c>
      <c r="L35" s="146">
        <f>K35/$B$3</f>
        <v/>
      </c>
      <c r="M35" s="147">
        <f>$B$3-K35</f>
        <v/>
      </c>
    </row>
    <row r="36">
      <c r="A36" s="37" t="n">
        <v>26</v>
      </c>
      <c r="B36" s="136">
        <f>$B$11*A36</f>
        <v/>
      </c>
      <c r="C36" s="137">
        <f>B36/$B$3</f>
        <v/>
      </c>
      <c r="D36" s="138" t="n">
        <v>0</v>
      </c>
      <c r="E36" s="139" t="n"/>
      <c r="F36" s="140">
        <f>B36+E36</f>
        <v/>
      </c>
      <c r="G36" s="141">
        <f>F36/$B$3</f>
        <v/>
      </c>
      <c r="H36" s="142">
        <f>$E$5-B36</f>
        <v/>
      </c>
      <c r="I36" s="143">
        <f>IF(H36&gt;I35,I35,H36)</f>
        <v/>
      </c>
      <c r="J36" s="144">
        <f>$H$6</f>
        <v/>
      </c>
      <c r="K36" s="145">
        <f>F36+I36+J36</f>
        <v/>
      </c>
      <c r="L36" s="146">
        <f>K36/$B$3</f>
        <v/>
      </c>
      <c r="M36" s="147">
        <f>$B$3-K36</f>
        <v/>
      </c>
    </row>
    <row r="37">
      <c r="A37" s="37" t="n">
        <v>27</v>
      </c>
      <c r="B37" s="136">
        <f>$B$11*A37</f>
        <v/>
      </c>
      <c r="C37" s="137">
        <f>B37/$B$3</f>
        <v/>
      </c>
      <c r="D37" s="138" t="n">
        <v>0</v>
      </c>
      <c r="E37" s="139" t="n"/>
      <c r="F37" s="140">
        <f>B37+E37</f>
        <v/>
      </c>
      <c r="G37" s="141">
        <f>F37/$B$3</f>
        <v/>
      </c>
      <c r="H37" s="142">
        <f>$E$5-B37</f>
        <v/>
      </c>
      <c r="I37" s="143">
        <f>IF(H37&gt;I36,I36,H37)</f>
        <v/>
      </c>
      <c r="J37" s="144">
        <f>$H$6</f>
        <v/>
      </c>
      <c r="K37" s="145">
        <f>F37+I37+J37</f>
        <v/>
      </c>
      <c r="L37" s="146">
        <f>K37/$B$3</f>
        <v/>
      </c>
      <c r="M37" s="147">
        <f>$B$3-K37</f>
        <v/>
      </c>
    </row>
    <row r="38">
      <c r="A38" s="37" t="n">
        <v>28</v>
      </c>
      <c r="B38" s="136">
        <f>$B$11*A38</f>
        <v/>
      </c>
      <c r="C38" s="137">
        <f>B38/$B$3</f>
        <v/>
      </c>
      <c r="D38" s="138" t="n">
        <v>0</v>
      </c>
      <c r="E38" s="139" t="n"/>
      <c r="F38" s="140">
        <f>B38+E38</f>
        <v/>
      </c>
      <c r="G38" s="141">
        <f>F38/$B$3</f>
        <v/>
      </c>
      <c r="H38" s="142">
        <f>$E$5-B38</f>
        <v/>
      </c>
      <c r="I38" s="143">
        <f>IF(H38&gt;I37,I37,H38)</f>
        <v/>
      </c>
      <c r="J38" s="144">
        <f>$H$6</f>
        <v/>
      </c>
      <c r="K38" s="145">
        <f>F38+I38+J38</f>
        <v/>
      </c>
      <c r="L38" s="146">
        <f>K38/$B$3</f>
        <v/>
      </c>
      <c r="M38" s="147">
        <f>$B$3-K38</f>
        <v/>
      </c>
    </row>
    <row r="39">
      <c r="A39" s="37" t="n">
        <v>29</v>
      </c>
      <c r="B39" s="136">
        <f>$B$11*A39</f>
        <v/>
      </c>
      <c r="C39" s="137">
        <f>B39/$B$3</f>
        <v/>
      </c>
      <c r="D39" s="138" t="n">
        <v>0</v>
      </c>
      <c r="E39" s="139" t="n"/>
      <c r="F39" s="140">
        <f>B39+E39</f>
        <v/>
      </c>
      <c r="G39" s="141">
        <f>F39/$B$3</f>
        <v/>
      </c>
      <c r="H39" s="142">
        <f>$E$5-B39</f>
        <v/>
      </c>
      <c r="I39" s="143">
        <f>IF(H39&gt;I38,I38,H39)</f>
        <v/>
      </c>
      <c r="J39" s="144">
        <f>$H$6</f>
        <v/>
      </c>
      <c r="K39" s="145">
        <f>F39+I39+J39</f>
        <v/>
      </c>
      <c r="L39" s="146">
        <f>K39/$B$3</f>
        <v/>
      </c>
      <c r="M39" s="147">
        <f>$B$3-K39</f>
        <v/>
      </c>
    </row>
    <row r="40">
      <c r="A40" s="37" t="n">
        <v>30</v>
      </c>
      <c r="B40" s="136">
        <f>$B$11*A40</f>
        <v/>
      </c>
      <c r="C40" s="137">
        <f>B40/$B$3</f>
        <v/>
      </c>
      <c r="D40" s="138" t="n">
        <v>0</v>
      </c>
      <c r="E40" s="139" t="n"/>
      <c r="F40" s="140">
        <f>B40+E40</f>
        <v/>
      </c>
      <c r="G40" s="141">
        <f>F40/$B$3</f>
        <v/>
      </c>
      <c r="H40" s="142">
        <f>$E$5-B40</f>
        <v/>
      </c>
      <c r="I40" s="143">
        <f>IF(H40&gt;I39,I39,H40)</f>
        <v/>
      </c>
      <c r="J40" s="144">
        <f>$H$6</f>
        <v/>
      </c>
      <c r="K40" s="145">
        <f>F40+I40+J40</f>
        <v/>
      </c>
      <c r="L40" s="146">
        <f>K40/$B$3</f>
        <v/>
      </c>
      <c r="M40" s="147">
        <f>$B$3-K40</f>
        <v/>
      </c>
    </row>
    <row r="41">
      <c r="A41" s="37" t="n">
        <v>31</v>
      </c>
      <c r="B41" s="136">
        <f>$B$11*A41</f>
        <v/>
      </c>
      <c r="C41" s="137">
        <f>B41/$B$3</f>
        <v/>
      </c>
      <c r="D41" s="138" t="n">
        <v>0</v>
      </c>
      <c r="E41" s="139" t="n"/>
      <c r="F41" s="140">
        <f>B41+E41</f>
        <v/>
      </c>
      <c r="G41" s="141">
        <f>F41/$B$3</f>
        <v/>
      </c>
      <c r="H41" s="142">
        <f>$E$5-B41</f>
        <v/>
      </c>
      <c r="I41" s="143">
        <f>IF(H41&gt;I40,I40,H41)</f>
        <v/>
      </c>
      <c r="J41" s="144">
        <f>$H$6</f>
        <v/>
      </c>
      <c r="K41" s="145">
        <f>F41+I41+J41</f>
        <v/>
      </c>
      <c r="L41" s="146">
        <f>K41/$B$3</f>
        <v/>
      </c>
      <c r="M41" s="147">
        <f>$B$3-K41</f>
        <v/>
      </c>
    </row>
    <row r="42">
      <c r="A42" s="37" t="n">
        <v>32</v>
      </c>
      <c r="B42" s="136">
        <f>$B$11*A42</f>
        <v/>
      </c>
      <c r="C42" s="137">
        <f>B42/$B$3</f>
        <v/>
      </c>
      <c r="D42" s="138" t="n">
        <v>0</v>
      </c>
      <c r="E42" s="139" t="n"/>
      <c r="F42" s="140">
        <f>B42+E42</f>
        <v/>
      </c>
      <c r="G42" s="141">
        <f>F42/$B$3</f>
        <v/>
      </c>
      <c r="H42" s="142">
        <f>$E$5-B42</f>
        <v/>
      </c>
      <c r="I42" s="143">
        <f>IF(H42&gt;I41,I41,H42)</f>
        <v/>
      </c>
      <c r="J42" s="144">
        <f>$H$6</f>
        <v/>
      </c>
      <c r="K42" s="145">
        <f>F42+I42+J42</f>
        <v/>
      </c>
      <c r="L42" s="146">
        <f>K42/$B$3</f>
        <v/>
      </c>
      <c r="M42" s="147">
        <f>$B$3-K42</f>
        <v/>
      </c>
    </row>
    <row r="43">
      <c r="A43" s="37" t="n">
        <v>33</v>
      </c>
      <c r="B43" s="136">
        <f>$B$11*A43</f>
        <v/>
      </c>
      <c r="C43" s="137">
        <f>B43/$B$3</f>
        <v/>
      </c>
      <c r="D43" s="138" t="n">
        <v>0</v>
      </c>
      <c r="E43" s="139" t="n"/>
      <c r="F43" s="140">
        <f>B43+E43</f>
        <v/>
      </c>
      <c r="G43" s="141">
        <f>F43/$B$3</f>
        <v/>
      </c>
      <c r="H43" s="142">
        <f>$E$5-B43</f>
        <v/>
      </c>
      <c r="I43" s="143">
        <f>IF(H43&gt;I42,I42,H43)</f>
        <v/>
      </c>
      <c r="J43" s="144">
        <f>$H$6</f>
        <v/>
      </c>
      <c r="K43" s="145">
        <f>F43+I43+J43</f>
        <v/>
      </c>
      <c r="L43" s="146">
        <f>K43/$B$3</f>
        <v/>
      </c>
      <c r="M43" s="147">
        <f>$B$3-K43</f>
        <v/>
      </c>
    </row>
    <row r="44">
      <c r="A44" s="37" t="n">
        <v>34</v>
      </c>
      <c r="B44" s="136">
        <f>$B$11*A44</f>
        <v/>
      </c>
      <c r="C44" s="137">
        <f>B44/$B$3</f>
        <v/>
      </c>
      <c r="D44" s="138" t="n">
        <v>0</v>
      </c>
      <c r="E44" s="139" t="n"/>
      <c r="F44" s="140">
        <f>B44+E44</f>
        <v/>
      </c>
      <c r="G44" s="141">
        <f>F44/$B$3</f>
        <v/>
      </c>
      <c r="H44" s="142">
        <f>$E$5-B44</f>
        <v/>
      </c>
      <c r="I44" s="143">
        <f>IF(H44&gt;I43,I43,H44)</f>
        <v/>
      </c>
      <c r="J44" s="144">
        <f>$H$6</f>
        <v/>
      </c>
      <c r="K44" s="145">
        <f>F44+I44+J44</f>
        <v/>
      </c>
      <c r="L44" s="146">
        <f>K44/$B$3</f>
        <v/>
      </c>
      <c r="M44" s="147">
        <f>$B$3-K44</f>
        <v/>
      </c>
    </row>
    <row r="45">
      <c r="A45" s="37" t="n">
        <v>35</v>
      </c>
      <c r="B45" s="136">
        <f>$B$11*A45</f>
        <v/>
      </c>
      <c r="C45" s="137">
        <f>B45/$B$3</f>
        <v/>
      </c>
      <c r="D45" s="138" t="n">
        <v>0</v>
      </c>
      <c r="E45" s="139" t="n"/>
      <c r="F45" s="140">
        <f>B45+E45</f>
        <v/>
      </c>
      <c r="G45" s="141">
        <f>F45/$B$3</f>
        <v/>
      </c>
      <c r="H45" s="142">
        <f>$E$5-B45</f>
        <v/>
      </c>
      <c r="I45" s="143">
        <f>IF(H45&gt;I44,I44,H45)</f>
        <v/>
      </c>
      <c r="J45" s="144">
        <f>$H$6</f>
        <v/>
      </c>
      <c r="K45" s="145">
        <f>F45+I45+J45</f>
        <v/>
      </c>
      <c r="L45" s="146">
        <f>K45/$B$3</f>
        <v/>
      </c>
      <c r="M45" s="147">
        <f>$B$3-K45</f>
        <v/>
      </c>
    </row>
    <row r="46">
      <c r="A46" s="37" t="n">
        <v>36</v>
      </c>
      <c r="B46" s="136">
        <f>$B$11*A46</f>
        <v/>
      </c>
      <c r="C46" s="137">
        <f>B46/$B$3</f>
        <v/>
      </c>
      <c r="D46" s="138" t="n">
        <v>0</v>
      </c>
      <c r="E46" s="139" t="n"/>
      <c r="F46" s="140">
        <f>B46+E46</f>
        <v/>
      </c>
      <c r="G46" s="141">
        <f>F46/$B$3</f>
        <v/>
      </c>
      <c r="H46" s="142">
        <f>$E$5-B46</f>
        <v/>
      </c>
      <c r="I46" s="143">
        <f>IF(H46&gt;I45,I45,H46)</f>
        <v/>
      </c>
      <c r="J46" s="144">
        <f>$H$6</f>
        <v/>
      </c>
      <c r="K46" s="145">
        <f>F46+I46+J46</f>
        <v/>
      </c>
      <c r="L46" s="146">
        <f>K46/$B$3</f>
        <v/>
      </c>
      <c r="M46" s="147">
        <f>$B$3-K46</f>
        <v/>
      </c>
    </row>
    <row r="47">
      <c r="E47" s="148" t="n"/>
      <c r="F47" s="148" t="n"/>
      <c r="M47" s="135" t="n"/>
    </row>
    <row r="48">
      <c r="E48" s="52" t="n"/>
    </row>
  </sheetData>
  <mergeCells count="3">
    <mergeCell ref="A1:M1"/>
    <mergeCell ref="F9:H9"/>
    <mergeCell ref="I9:L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4" tint="-0.249977111117893"/>
    <outlinePr summaryBelow="1" summaryRight="1"/>
    <pageSetUpPr/>
  </sheetPr>
  <dimension ref="A2:Q52"/>
  <sheetViews>
    <sheetView tabSelected="1" zoomScale="85" zoomScaleNormal="85" workbookViewId="0">
      <selection activeCell="S8" sqref="S8"/>
    </sheetView>
  </sheetViews>
  <sheetFormatPr baseColWidth="8" defaultColWidth="9" defaultRowHeight="13.2"/>
  <cols>
    <col width="1.69921875" bestFit="1" customWidth="1" style="8" min="1" max="1"/>
    <col width="4.19921875" customWidth="1" style="53" min="2" max="2"/>
    <col width="10.19921875" bestFit="1" customWidth="1" style="8" min="3" max="3"/>
    <col width="11" bestFit="1" customWidth="1" style="8" min="4" max="4"/>
    <col width="11.59765625" bestFit="1" customWidth="1" style="8" min="5" max="5"/>
    <col width="10.59765625" customWidth="1" style="8" min="6" max="6"/>
    <col width="10.5" bestFit="1" customWidth="1" style="8" min="7" max="7"/>
    <col width="9" bestFit="1" customWidth="1" style="8" min="8" max="8"/>
    <col width="9.19921875" customWidth="1" style="8" min="9" max="9"/>
    <col width="9.69921875" bestFit="1" customWidth="1" style="8" min="10" max="10"/>
    <col width="11.19921875" bestFit="1" customWidth="1" style="8" min="11" max="11"/>
    <col width="12.19921875" bestFit="1" customWidth="1" style="8" min="12" max="12"/>
    <col width="12.8984375" customWidth="1" style="8" min="13" max="13"/>
    <col width="11.3984375" customWidth="1" style="8" min="14" max="14"/>
    <col width="8.19921875" bestFit="1" customWidth="1" style="8" min="15" max="15"/>
    <col width="10.19921875" bestFit="1" customWidth="1" style="8" min="16" max="16"/>
    <col width="9.19921875" bestFit="1" customWidth="1" style="8" min="17" max="17"/>
    <col width="9" customWidth="1" style="8" min="18" max="16384"/>
  </cols>
  <sheetData>
    <row r="1" ht="13.8" customHeight="1" s="110" thickBot="1"/>
    <row r="2" ht="33.6" customHeight="1" s="110" thickBot="1">
      <c r="B2" s="149" t="inlineStr">
        <is>
          <t xml:space="preserve"> 4족보행로봇</t>
        </is>
      </c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5" t="n"/>
      <c r="Q2" s="1" t="n"/>
    </row>
    <row r="4">
      <c r="K4" s="150">
        <f>ROUNDUP(PMT(I6/12,H6,-G6),-2)</f>
        <v/>
      </c>
    </row>
    <row r="5" ht="21.75" customHeight="1" s="110">
      <c r="B5" s="55" t="inlineStr">
        <is>
          <t>상품</t>
        </is>
      </c>
      <c r="C5" s="56" t="inlineStr">
        <is>
          <t>제조사</t>
        </is>
      </c>
      <c r="D5" s="56" t="inlineStr">
        <is>
          <t>모델</t>
        </is>
      </c>
      <c r="E5" s="56" t="inlineStr">
        <is>
          <t>취득가</t>
        </is>
      </c>
      <c r="F5" s="56" t="inlineStr">
        <is>
          <t>수량</t>
        </is>
      </c>
      <c r="G5" s="56" t="inlineStr">
        <is>
          <t>총취득가</t>
        </is>
      </c>
      <c r="H5" s="56" t="inlineStr">
        <is>
          <t>렌탈기간</t>
        </is>
      </c>
      <c r="I5" s="56" t="inlineStr">
        <is>
          <t>RR</t>
        </is>
      </c>
      <c r="J5" s="56" t="inlineStr">
        <is>
          <t>IRR</t>
        </is>
      </c>
      <c r="K5" s="56" t="inlineStr">
        <is>
          <t>렌탈료</t>
        </is>
      </c>
      <c r="L5" s="56" t="inlineStr">
        <is>
          <t>총렌탈료</t>
        </is>
      </c>
      <c r="M5" s="56" t="inlineStr">
        <is>
          <t>회수율</t>
        </is>
      </c>
      <c r="N5" s="56" t="inlineStr">
        <is>
          <t>이자율</t>
        </is>
      </c>
      <c r="O5" s="56" t="inlineStr">
        <is>
          <t>RV</t>
        </is>
      </c>
      <c r="P5" s="56" t="inlineStr">
        <is>
          <t>손익율</t>
        </is>
      </c>
    </row>
    <row r="6">
      <c r="B6" s="57" t="inlineStr">
        <is>
          <t>로봇</t>
        </is>
      </c>
      <c r="C6" s="57" t="n"/>
      <c r="D6" s="58" t="inlineStr">
        <is>
          <t>4족보행로봇</t>
        </is>
      </c>
      <c r="E6" s="151" t="n">
        <v>44660000</v>
      </c>
      <c r="F6" s="152" t="n">
        <v>4</v>
      </c>
      <c r="G6" s="152">
        <f>E6*F6</f>
        <v/>
      </c>
      <c r="H6" s="57" t="n">
        <v>36</v>
      </c>
      <c r="I6" s="61" t="n">
        <v>0.3016912743289681</v>
      </c>
      <c r="J6" s="62">
        <f>L12</f>
        <v/>
      </c>
      <c r="K6" s="150" t="n">
        <v>13000000</v>
      </c>
      <c r="L6" s="153">
        <f>K6*H6+K14</f>
        <v/>
      </c>
      <c r="M6" s="64">
        <f>L6/G6</f>
        <v/>
      </c>
      <c r="N6" s="61" t="n">
        <v>0.06</v>
      </c>
      <c r="O6" s="154" t="n">
        <v>0</v>
      </c>
      <c r="P6" s="64">
        <f>P27/G6</f>
        <v/>
      </c>
    </row>
    <row r="7">
      <c r="B7" s="66" t="n"/>
      <c r="C7" s="66" t="n"/>
      <c r="D7" s="67" t="n"/>
      <c r="E7" s="155" t="n"/>
      <c r="F7" s="156" t="n"/>
      <c r="G7" s="156" t="n"/>
      <c r="H7" s="66" t="n"/>
      <c r="I7" s="70" t="n"/>
      <c r="J7" s="70" t="n"/>
      <c r="K7" s="157" t="n"/>
      <c r="L7" s="157">
        <f>+L6*80%</f>
        <v/>
      </c>
      <c r="M7" s="158" t="n"/>
      <c r="N7" s="70" t="n"/>
      <c r="O7" s="73" t="n"/>
      <c r="P7" s="74">
        <f>+P6/(H6/12)</f>
        <v/>
      </c>
    </row>
    <row r="8" ht="26.4" customHeight="1" s="110">
      <c r="B8" s="66" t="n"/>
      <c r="C8" s="75" t="inlineStr">
        <is>
          <t>설치비(원)</t>
        </is>
      </c>
      <c r="D8" s="76" t="inlineStr">
        <is>
          <t>VOC비용(원)</t>
        </is>
      </c>
      <c r="E8" s="76" t="inlineStr">
        <is>
          <t>예비비(원)</t>
        </is>
      </c>
      <c r="F8" s="159" t="inlineStr">
        <is>
          <t>판관비(원)</t>
        </is>
      </c>
      <c r="G8" s="160" t="inlineStr">
        <is>
          <t>영업비(원)</t>
        </is>
      </c>
      <c r="H8" s="161" t="inlineStr">
        <is>
          <t>보증보험
할인율(%)</t>
        </is>
      </c>
      <c r="I8" s="160" t="inlineStr">
        <is>
          <t>판관비율</t>
        </is>
      </c>
      <c r="J8" s="160" t="inlineStr">
        <is>
          <t>영업비율</t>
        </is>
      </c>
      <c r="K8" s="161" t="inlineStr">
        <is>
          <t>보증보험
커버금액</t>
        </is>
      </c>
      <c r="L8" s="162" t="inlineStr">
        <is>
          <t>보증보험
가입비율</t>
        </is>
      </c>
      <c r="M8" s="158" t="n"/>
      <c r="N8" s="70" t="n"/>
      <c r="O8" s="73" t="n"/>
      <c r="P8" s="74" t="n"/>
    </row>
    <row r="9">
      <c r="B9" s="66" t="n"/>
      <c r="C9" s="163" t="n"/>
      <c r="D9" s="164" t="n"/>
      <c r="E9" s="164" t="n"/>
      <c r="F9" s="165">
        <f>(G6*I9)/H6</f>
        <v/>
      </c>
      <c r="G9" s="165">
        <f>(G6*J9)/H6</f>
        <v/>
      </c>
      <c r="H9" s="84" t="n">
        <v>0.15</v>
      </c>
      <c r="I9" s="85">
        <f>0.1055555555%*H6</f>
        <v/>
      </c>
      <c r="J9" s="85" t="n"/>
      <c r="K9" s="166">
        <f>L6*L9</f>
        <v/>
      </c>
      <c r="L9" s="87" t="n"/>
      <c r="M9" s="158" t="n"/>
      <c r="N9" s="70" t="n"/>
      <c r="O9" s="73" t="n"/>
      <c r="P9" s="74" t="n"/>
    </row>
    <row r="10">
      <c r="I10" s="88" t="n"/>
      <c r="J10" s="167" t="n"/>
      <c r="K10" s="155">
        <f>+K9+K14</f>
        <v/>
      </c>
      <c r="L10" s="168">
        <f>+L6-K10</f>
        <v/>
      </c>
      <c r="M10" s="8" t="inlineStr">
        <is>
          <t>1개월차 최소 재매입금액</t>
        </is>
      </c>
      <c r="P10" s="88" t="n"/>
    </row>
    <row r="11">
      <c r="L11" s="91" t="inlineStr">
        <is>
          <t>IRR</t>
        </is>
      </c>
      <c r="N11" s="167" t="n"/>
    </row>
    <row r="12">
      <c r="B12" s="91" t="inlineStr">
        <is>
          <t>회차</t>
        </is>
      </c>
      <c r="C12" s="91" t="inlineStr">
        <is>
          <t>월렌탈료</t>
        </is>
      </c>
      <c r="D12" s="91" t="inlineStr">
        <is>
          <t>총취득가</t>
        </is>
      </c>
      <c r="E12" s="92" t="inlineStr">
        <is>
          <t>예비비</t>
        </is>
      </c>
      <c r="F12" s="91" t="inlineStr">
        <is>
          <t>보증보험료</t>
        </is>
      </c>
      <c r="G12" s="93" t="inlineStr">
        <is>
          <t>판관비</t>
        </is>
      </c>
      <c r="H12" s="91" t="inlineStr">
        <is>
          <t>영업비</t>
        </is>
      </c>
      <c r="I12" s="91" t="inlineStr">
        <is>
          <t>유지 비용</t>
        </is>
      </c>
      <c r="J12" s="91" t="inlineStr">
        <is>
          <t>RV</t>
        </is>
      </c>
      <c r="K12" s="91" t="inlineStr">
        <is>
          <t>선수금</t>
        </is>
      </c>
      <c r="L12" s="94">
        <f>IRR(L13:L50)*12</f>
        <v/>
      </c>
      <c r="M12" s="91" t="inlineStr">
        <is>
          <t>감가상각비</t>
        </is>
      </c>
      <c r="N12" s="91" t="inlineStr">
        <is>
          <t>원금</t>
        </is>
      </c>
      <c r="O12" s="91" t="inlineStr">
        <is>
          <t>이자</t>
        </is>
      </c>
      <c r="P12" s="91" t="inlineStr">
        <is>
          <t>손익</t>
        </is>
      </c>
    </row>
    <row r="13">
      <c r="B13" s="169" t="n">
        <v>0</v>
      </c>
      <c r="C13" s="170" t="n"/>
      <c r="D13" s="170">
        <f>-G6</f>
        <v/>
      </c>
      <c r="E13" s="170" t="n"/>
      <c r="F13" s="170" t="n"/>
      <c r="G13" s="170" t="n"/>
      <c r="H13" s="170" t="n"/>
      <c r="I13" s="170" t="n"/>
      <c r="J13" s="170" t="n"/>
      <c r="K13" s="171" t="n"/>
      <c r="L13" s="170">
        <f>SUM(C13:K13)</f>
        <v/>
      </c>
      <c r="M13" s="170" t="n"/>
      <c r="N13" s="170">
        <f>G6</f>
        <v/>
      </c>
      <c r="O13" s="170" t="n"/>
      <c r="P13" s="170" t="n"/>
    </row>
    <row r="14">
      <c r="B14" s="169" t="n">
        <v>1</v>
      </c>
      <c r="C14" s="170">
        <f>K6</f>
        <v/>
      </c>
      <c r="D14" s="170" t="n"/>
      <c r="E14" s="170">
        <f>-E9*F6</f>
        <v/>
      </c>
      <c r="F14" s="170" t="n"/>
      <c r="G14" s="170">
        <f>-F9</f>
        <v/>
      </c>
      <c r="H14" s="170">
        <f>-G9</f>
        <v/>
      </c>
      <c r="I14" s="170" t="n"/>
      <c r="J14" s="170" t="n"/>
      <c r="K14" s="170" t="n">
        <v>50000000</v>
      </c>
      <c r="L14" s="170">
        <f>SUM(C14:K14)</f>
        <v/>
      </c>
      <c r="M14" s="170">
        <f>(G6-J50)/H6</f>
        <v/>
      </c>
      <c r="N14" s="170">
        <f>N13-M14</f>
        <v/>
      </c>
      <c r="O14" s="170">
        <f>(N13*$N$6)/12</f>
        <v/>
      </c>
      <c r="P14" s="170">
        <f>L14-M14-O14</f>
        <v/>
      </c>
    </row>
    <row r="15">
      <c r="B15" s="169" t="n">
        <v>2</v>
      </c>
      <c r="C15" s="170">
        <f>C14</f>
        <v/>
      </c>
      <c r="D15" s="170" t="n"/>
      <c r="E15" s="170" t="inlineStr">
        <is>
          <t> </t>
        </is>
      </c>
      <c r="F15" s="170" t="n"/>
      <c r="G15" s="170">
        <f>G14</f>
        <v/>
      </c>
      <c r="H15" s="170">
        <f>H14</f>
        <v/>
      </c>
      <c r="I15" s="170" t="n"/>
      <c r="J15" s="170" t="n"/>
      <c r="K15" s="170" t="n"/>
      <c r="L15" s="170">
        <f>SUM(C15:K15)</f>
        <v/>
      </c>
      <c r="M15" s="170">
        <f>M14</f>
        <v/>
      </c>
      <c r="N15" s="170">
        <f>N14-M15</f>
        <v/>
      </c>
      <c r="O15" s="170">
        <f>(N14*$N$6)/12</f>
        <v/>
      </c>
      <c r="P15" s="170">
        <f>L15-M15-O15</f>
        <v/>
      </c>
    </row>
    <row r="16">
      <c r="B16" s="169" t="n">
        <v>3</v>
      </c>
      <c r="C16" s="170">
        <f>C15</f>
        <v/>
      </c>
      <c r="D16" s="170" t="n"/>
      <c r="E16" s="170" t="n"/>
      <c r="F16" s="170" t="n"/>
      <c r="G16" s="170">
        <f>G15</f>
        <v/>
      </c>
      <c r="H16" s="170">
        <f>H15</f>
        <v/>
      </c>
      <c r="I16" s="170" t="n"/>
      <c r="J16" s="170" t="n"/>
      <c r="K16" s="170" t="n"/>
      <c r="L16" s="170">
        <f>SUM(C16:K16)</f>
        <v/>
      </c>
      <c r="M16" s="170">
        <f>M15</f>
        <v/>
      </c>
      <c r="N16" s="170">
        <f>N15-M16</f>
        <v/>
      </c>
      <c r="O16" s="170">
        <f>(N15*$N$6)/12</f>
        <v/>
      </c>
      <c r="P16" s="170">
        <f>L16-M16-O16</f>
        <v/>
      </c>
    </row>
    <row r="17">
      <c r="B17" s="169" t="n">
        <v>4</v>
      </c>
      <c r="C17" s="170">
        <f>C16</f>
        <v/>
      </c>
      <c r="D17" s="170" t="n"/>
      <c r="E17" s="170" t="n"/>
      <c r="F17" s="170" t="n"/>
      <c r="G17" s="170">
        <f>G16</f>
        <v/>
      </c>
      <c r="H17" s="170">
        <f>H16</f>
        <v/>
      </c>
      <c r="I17" s="170" t="n"/>
      <c r="J17" s="170" t="n"/>
      <c r="K17" s="170" t="n"/>
      <c r="L17" s="170">
        <f>SUM(C17:K17)</f>
        <v/>
      </c>
      <c r="M17" s="170">
        <f>M16</f>
        <v/>
      </c>
      <c r="N17" s="170">
        <f>N16-M17</f>
        <v/>
      </c>
      <c r="O17" s="170">
        <f>(N16*$N$6)/12</f>
        <v/>
      </c>
      <c r="P17" s="170">
        <f>L17-M17-O17</f>
        <v/>
      </c>
    </row>
    <row r="18">
      <c r="B18" s="169" t="n">
        <v>5</v>
      </c>
      <c r="C18" s="170">
        <f>C17</f>
        <v/>
      </c>
      <c r="D18" s="170" t="n"/>
      <c r="E18" s="170" t="n"/>
      <c r="F18" s="170" t="n"/>
      <c r="G18" s="170">
        <f>G17</f>
        <v/>
      </c>
      <c r="H18" s="170">
        <f>H17</f>
        <v/>
      </c>
      <c r="I18" s="170" t="n"/>
      <c r="J18" s="170" t="n"/>
      <c r="K18" s="170" t="n"/>
      <c r="L18" s="170">
        <f>SUM(C18:K18)</f>
        <v/>
      </c>
      <c r="M18" s="170">
        <f>M17</f>
        <v/>
      </c>
      <c r="N18" s="170">
        <f>N17-M18</f>
        <v/>
      </c>
      <c r="O18" s="170">
        <f>(N17*$N$6)/12</f>
        <v/>
      </c>
      <c r="P18" s="170">
        <f>L18-M18-O18</f>
        <v/>
      </c>
    </row>
    <row r="19">
      <c r="B19" s="169" t="n">
        <v>6</v>
      </c>
      <c r="C19" s="170">
        <f>C18</f>
        <v/>
      </c>
      <c r="D19" s="170" t="n"/>
      <c r="E19" s="170" t="n"/>
      <c r="F19" s="170" t="n"/>
      <c r="G19" s="170">
        <f>G18</f>
        <v/>
      </c>
      <c r="H19" s="170">
        <f>H18</f>
        <v/>
      </c>
      <c r="I19" s="170" t="n"/>
      <c r="J19" s="170" t="n"/>
      <c r="K19" s="170" t="n"/>
      <c r="L19" s="170">
        <f>SUM(C19:K19)</f>
        <v/>
      </c>
      <c r="M19" s="170">
        <f>M18</f>
        <v/>
      </c>
      <c r="N19" s="170">
        <f>N18-M19</f>
        <v/>
      </c>
      <c r="O19" s="170">
        <f>(N18*$N$6)/12</f>
        <v/>
      </c>
      <c r="P19" s="170">
        <f>L19-M19-O19</f>
        <v/>
      </c>
    </row>
    <row r="20">
      <c r="B20" s="169" t="n">
        <v>7</v>
      </c>
      <c r="C20" s="170">
        <f>C19</f>
        <v/>
      </c>
      <c r="D20" s="170" t="n"/>
      <c r="E20" s="170" t="n"/>
      <c r="F20" s="170" t="n"/>
      <c r="G20" s="170">
        <f>G19</f>
        <v/>
      </c>
      <c r="H20" s="170">
        <f>H19</f>
        <v/>
      </c>
      <c r="I20" s="170" t="n"/>
      <c r="J20" s="170" t="n"/>
      <c r="K20" s="170" t="n"/>
      <c r="L20" s="170">
        <f>SUM(C20:K20)</f>
        <v/>
      </c>
      <c r="M20" s="170">
        <f>M19</f>
        <v/>
      </c>
      <c r="N20" s="170">
        <f>N19-M20</f>
        <v/>
      </c>
      <c r="O20" s="170">
        <f>(N19*$N$6)/12</f>
        <v/>
      </c>
      <c r="P20" s="170">
        <f>L20-M20-O20</f>
        <v/>
      </c>
    </row>
    <row r="21">
      <c r="B21" s="169" t="n">
        <v>8</v>
      </c>
      <c r="C21" s="170">
        <f>C20</f>
        <v/>
      </c>
      <c r="D21" s="170" t="n"/>
      <c r="E21" s="170" t="n"/>
      <c r="F21" s="170" t="n"/>
      <c r="G21" s="170">
        <f>G20</f>
        <v/>
      </c>
      <c r="H21" s="170">
        <f>H20</f>
        <v/>
      </c>
      <c r="I21" s="170" t="n"/>
      <c r="J21" s="170" t="n"/>
      <c r="K21" s="170" t="n"/>
      <c r="L21" s="170">
        <f>SUM(C21:K21)</f>
        <v/>
      </c>
      <c r="M21" s="170">
        <f>M20</f>
        <v/>
      </c>
      <c r="N21" s="170">
        <f>N20-M21</f>
        <v/>
      </c>
      <c r="O21" s="170">
        <f>(N20*$N$6)/12</f>
        <v/>
      </c>
      <c r="P21" s="170">
        <f>L21-M21-O21</f>
        <v/>
      </c>
    </row>
    <row r="22">
      <c r="B22" s="169" t="n">
        <v>9</v>
      </c>
      <c r="C22" s="170">
        <f>C21</f>
        <v/>
      </c>
      <c r="D22" s="170" t="n"/>
      <c r="E22" s="170" t="n"/>
      <c r="F22" s="170" t="n"/>
      <c r="G22" s="170">
        <f>G21</f>
        <v/>
      </c>
      <c r="H22" s="170">
        <f>H21</f>
        <v/>
      </c>
      <c r="I22" s="170" t="n"/>
      <c r="J22" s="170" t="n"/>
      <c r="K22" s="170" t="n"/>
      <c r="L22" s="170">
        <f>SUM(C22:K22)</f>
        <v/>
      </c>
      <c r="M22" s="170">
        <f>M21</f>
        <v/>
      </c>
      <c r="N22" s="170">
        <f>N21-M22</f>
        <v/>
      </c>
      <c r="O22" s="170">
        <f>(N21*$N$6)/12</f>
        <v/>
      </c>
      <c r="P22" s="170">
        <f>L22-M22-O22</f>
        <v/>
      </c>
    </row>
    <row r="23">
      <c r="B23" s="169" t="n">
        <v>10</v>
      </c>
      <c r="C23" s="170">
        <f>C22</f>
        <v/>
      </c>
      <c r="D23" s="170" t="n"/>
      <c r="E23" s="170" t="n"/>
      <c r="F23" s="170" t="n"/>
      <c r="G23" s="170">
        <f>G22</f>
        <v/>
      </c>
      <c r="H23" s="170">
        <f>H22</f>
        <v/>
      </c>
      <c r="I23" s="170" t="n"/>
      <c r="J23" s="170" t="n"/>
      <c r="K23" s="170" t="n"/>
      <c r="L23" s="170">
        <f>SUM(C23:K23)</f>
        <v/>
      </c>
      <c r="M23" s="170">
        <f>M22</f>
        <v/>
      </c>
      <c r="N23" s="170">
        <f>N22-M23</f>
        <v/>
      </c>
      <c r="O23" s="170">
        <f>(N22*$N$6)/12</f>
        <v/>
      </c>
      <c r="P23" s="170">
        <f>L23-M23-O23</f>
        <v/>
      </c>
    </row>
    <row r="24">
      <c r="B24" s="169" t="n">
        <v>11</v>
      </c>
      <c r="C24" s="170">
        <f>C23</f>
        <v/>
      </c>
      <c r="D24" s="170" t="n"/>
      <c r="E24" s="170" t="n"/>
      <c r="F24" s="170" t="n"/>
      <c r="G24" s="170">
        <f>G23</f>
        <v/>
      </c>
      <c r="H24" s="170">
        <f>H23</f>
        <v/>
      </c>
      <c r="I24" s="170" t="n"/>
      <c r="J24" s="170" t="n"/>
      <c r="K24" s="170" t="n"/>
      <c r="L24" s="170">
        <f>SUM(C24:K24)</f>
        <v/>
      </c>
      <c r="M24" s="170">
        <f>M23</f>
        <v/>
      </c>
      <c r="N24" s="170">
        <f>N23-M24</f>
        <v/>
      </c>
      <c r="O24" s="170">
        <f>(N23*$N$6)/12</f>
        <v/>
      </c>
      <c r="P24" s="170">
        <f>L24-M24-O24</f>
        <v/>
      </c>
    </row>
    <row r="25">
      <c r="B25" s="169" t="n">
        <v>12</v>
      </c>
      <c r="C25" s="170">
        <f>C24</f>
        <v/>
      </c>
      <c r="D25" s="170" t="n"/>
      <c r="E25" s="170" t="n"/>
      <c r="F25" s="170" t="n"/>
      <c r="G25" s="170">
        <f>G24</f>
        <v/>
      </c>
      <c r="H25" s="170">
        <f>H24</f>
        <v/>
      </c>
      <c r="I25" s="170" t="n"/>
      <c r="J25" s="170" t="n"/>
      <c r="K25" s="172" t="n"/>
      <c r="L25" s="170">
        <f>SUM(C25:K25)</f>
        <v/>
      </c>
      <c r="M25" s="170">
        <f>M24</f>
        <v/>
      </c>
      <c r="N25" s="170">
        <f>N24-M25</f>
        <v/>
      </c>
      <c r="O25" s="170">
        <f>(N24*$N$6)/12</f>
        <v/>
      </c>
      <c r="P25" s="170">
        <f>L25-M25-O25</f>
        <v/>
      </c>
    </row>
    <row r="26">
      <c r="B26" s="169" t="n">
        <v>13</v>
      </c>
      <c r="C26" s="170">
        <f>C25</f>
        <v/>
      </c>
      <c r="D26" s="170" t="n"/>
      <c r="E26" s="170" t="n"/>
      <c r="F26" s="170" t="n"/>
      <c r="G26" s="170">
        <f>G25</f>
        <v/>
      </c>
      <c r="H26" s="170">
        <f>H25</f>
        <v/>
      </c>
      <c r="I26" s="170" t="n"/>
      <c r="J26" s="170" t="n"/>
      <c r="K26" s="170" t="n"/>
      <c r="L26" s="170">
        <f>SUM(C26:K26)</f>
        <v/>
      </c>
      <c r="M26" s="170">
        <f>M25</f>
        <v/>
      </c>
      <c r="N26" s="170">
        <f>N25-M26</f>
        <v/>
      </c>
      <c r="O26" s="170">
        <f>(N25*$N$6)/12</f>
        <v/>
      </c>
      <c r="P26" s="170">
        <f>L26-M26-O26</f>
        <v/>
      </c>
    </row>
    <row r="27">
      <c r="B27" s="169" t="n">
        <v>14</v>
      </c>
      <c r="C27" s="170">
        <f>C26</f>
        <v/>
      </c>
      <c r="D27" s="170" t="n"/>
      <c r="E27" s="170" t="n"/>
      <c r="F27" s="170" t="n"/>
      <c r="G27" s="170">
        <f>G26</f>
        <v/>
      </c>
      <c r="H27" s="170">
        <f>H26</f>
        <v/>
      </c>
      <c r="I27" s="170" t="n"/>
      <c r="J27" s="170" t="n"/>
      <c r="K27" s="170" t="n"/>
      <c r="L27" s="170">
        <f>SUM(C27:K27)</f>
        <v/>
      </c>
      <c r="M27" s="170">
        <f>M26</f>
        <v/>
      </c>
      <c r="N27" s="170">
        <f>N26-M27</f>
        <v/>
      </c>
      <c r="O27" s="170">
        <f>(N26*$N$6)/12</f>
        <v/>
      </c>
      <c r="P27" s="170">
        <f>L27-M27-O27</f>
        <v/>
      </c>
    </row>
    <row r="28">
      <c r="B28" s="169" t="n">
        <v>15</v>
      </c>
      <c r="C28" s="170">
        <f>C27</f>
        <v/>
      </c>
      <c r="D28" s="170" t="n"/>
      <c r="E28" s="170" t="n"/>
      <c r="F28" s="170" t="n"/>
      <c r="G28" s="170">
        <f>G27</f>
        <v/>
      </c>
      <c r="H28" s="170">
        <f>H27</f>
        <v/>
      </c>
      <c r="I28" s="170" t="n"/>
      <c r="J28" s="170" t="n"/>
      <c r="K28" s="170" t="n"/>
      <c r="L28" s="170">
        <f>SUM(C28:K28)</f>
        <v/>
      </c>
      <c r="M28" s="170">
        <f>M27</f>
        <v/>
      </c>
      <c r="N28" s="170">
        <f>N27-M28</f>
        <v/>
      </c>
      <c r="O28" s="170">
        <f>(N27*$N$6)/12</f>
        <v/>
      </c>
      <c r="P28" s="170">
        <f>L28-M28-O28</f>
        <v/>
      </c>
    </row>
    <row r="29">
      <c r="B29" s="169" t="n">
        <v>16</v>
      </c>
      <c r="C29" s="170">
        <f>C28</f>
        <v/>
      </c>
      <c r="D29" s="170" t="n"/>
      <c r="E29" s="170" t="n"/>
      <c r="F29" s="170" t="n"/>
      <c r="G29" s="170">
        <f>G28</f>
        <v/>
      </c>
      <c r="H29" s="170">
        <f>H28</f>
        <v/>
      </c>
      <c r="I29" s="170" t="n"/>
      <c r="J29" s="170" t="n"/>
      <c r="K29" s="170" t="n"/>
      <c r="L29" s="170">
        <f>SUM(C29:K29)</f>
        <v/>
      </c>
      <c r="M29" s="170">
        <f>M28</f>
        <v/>
      </c>
      <c r="N29" s="170">
        <f>N28-M29</f>
        <v/>
      </c>
      <c r="O29" s="170">
        <f>(N28*$N$6)/12</f>
        <v/>
      </c>
      <c r="P29" s="170">
        <f>L29-M29-O29</f>
        <v/>
      </c>
    </row>
    <row r="30">
      <c r="B30" s="169" t="n">
        <v>17</v>
      </c>
      <c r="C30" s="170">
        <f>C29</f>
        <v/>
      </c>
      <c r="D30" s="170" t="n"/>
      <c r="E30" s="170" t="n"/>
      <c r="F30" s="170" t="n"/>
      <c r="G30" s="170">
        <f>G29</f>
        <v/>
      </c>
      <c r="H30" s="170">
        <f>H29</f>
        <v/>
      </c>
      <c r="I30" s="170" t="n"/>
      <c r="J30" s="170" t="n"/>
      <c r="K30" s="170" t="n"/>
      <c r="L30" s="170">
        <f>SUM(C30:K30)</f>
        <v/>
      </c>
      <c r="M30" s="170">
        <f>M29</f>
        <v/>
      </c>
      <c r="N30" s="170">
        <f>N29-M30</f>
        <v/>
      </c>
      <c r="O30" s="170">
        <f>(N29*$N$6)/12</f>
        <v/>
      </c>
      <c r="P30" s="170">
        <f>L30-M30-O30</f>
        <v/>
      </c>
    </row>
    <row r="31">
      <c r="B31" s="169" t="n">
        <v>18</v>
      </c>
      <c r="C31" s="170">
        <f>C30</f>
        <v/>
      </c>
      <c r="D31" s="170" t="n"/>
      <c r="E31" s="170" t="n"/>
      <c r="F31" s="170" t="n"/>
      <c r="G31" s="170">
        <f>G30</f>
        <v/>
      </c>
      <c r="H31" s="170">
        <f>H30</f>
        <v/>
      </c>
      <c r="I31" s="170" t="n"/>
      <c r="J31" s="170" t="n"/>
      <c r="K31" s="170" t="n"/>
      <c r="L31" s="170">
        <f>SUM(C31:K31)</f>
        <v/>
      </c>
      <c r="M31" s="170">
        <f>M30</f>
        <v/>
      </c>
      <c r="N31" s="170">
        <f>N30-M31</f>
        <v/>
      </c>
      <c r="O31" s="170">
        <f>(N30*$N$6)/12</f>
        <v/>
      </c>
      <c r="P31" s="170">
        <f>L31-M31-O31</f>
        <v/>
      </c>
    </row>
    <row r="32">
      <c r="B32" s="169" t="n">
        <v>19</v>
      </c>
      <c r="C32" s="170">
        <f>C31</f>
        <v/>
      </c>
      <c r="D32" s="170" t="n"/>
      <c r="E32" s="170" t="n"/>
      <c r="F32" s="170" t="n"/>
      <c r="G32" s="170">
        <f>G31</f>
        <v/>
      </c>
      <c r="H32" s="170">
        <f>H31</f>
        <v/>
      </c>
      <c r="I32" s="170" t="n"/>
      <c r="J32" s="170" t="n"/>
      <c r="K32" s="170" t="n"/>
      <c r="L32" s="170">
        <f>SUM(C32:K32)</f>
        <v/>
      </c>
      <c r="M32" s="170">
        <f>M31</f>
        <v/>
      </c>
      <c r="N32" s="170">
        <f>N31-M32</f>
        <v/>
      </c>
      <c r="O32" s="170">
        <f>(N31*$N$6)/12</f>
        <v/>
      </c>
      <c r="P32" s="170">
        <f>L32-M32-O32</f>
        <v/>
      </c>
    </row>
    <row r="33">
      <c r="B33" s="169" t="n">
        <v>20</v>
      </c>
      <c r="C33" s="170">
        <f>C32</f>
        <v/>
      </c>
      <c r="D33" s="170" t="n"/>
      <c r="E33" s="170" t="n"/>
      <c r="F33" s="170" t="n"/>
      <c r="G33" s="170">
        <f>G32</f>
        <v/>
      </c>
      <c r="H33" s="170">
        <f>H32</f>
        <v/>
      </c>
      <c r="I33" s="170" t="n"/>
      <c r="J33" s="170" t="n"/>
      <c r="K33" s="170" t="n"/>
      <c r="L33" s="170">
        <f>SUM(C33:K33)</f>
        <v/>
      </c>
      <c r="M33" s="170">
        <f>M32</f>
        <v/>
      </c>
      <c r="N33" s="170">
        <f>N32-M33</f>
        <v/>
      </c>
      <c r="O33" s="170">
        <f>(N32*$N$6)/12</f>
        <v/>
      </c>
      <c r="P33" s="170">
        <f>L33-M33-O33</f>
        <v/>
      </c>
    </row>
    <row r="34">
      <c r="B34" s="169" t="n">
        <v>21</v>
      </c>
      <c r="C34" s="170">
        <f>C33</f>
        <v/>
      </c>
      <c r="D34" s="170" t="n"/>
      <c r="E34" s="170" t="n"/>
      <c r="F34" s="170" t="n"/>
      <c r="G34" s="170">
        <f>G33</f>
        <v/>
      </c>
      <c r="H34" s="170">
        <f>H33</f>
        <v/>
      </c>
      <c r="I34" s="170" t="n"/>
      <c r="J34" s="170" t="n"/>
      <c r="K34" s="170" t="n"/>
      <c r="L34" s="170">
        <f>SUM(C34:K34)</f>
        <v/>
      </c>
      <c r="M34" s="170">
        <f>M33</f>
        <v/>
      </c>
      <c r="N34" s="170">
        <f>N33-M34</f>
        <v/>
      </c>
      <c r="O34" s="170">
        <f>(N33*$N$6)/12</f>
        <v/>
      </c>
      <c r="P34" s="170">
        <f>L34-M34-O34</f>
        <v/>
      </c>
    </row>
    <row r="35">
      <c r="B35" s="169" t="n">
        <v>22</v>
      </c>
      <c r="C35" s="170">
        <f>C34</f>
        <v/>
      </c>
      <c r="D35" s="170" t="n"/>
      <c r="E35" s="170" t="n"/>
      <c r="F35" s="170" t="n"/>
      <c r="G35" s="170">
        <f>G34</f>
        <v/>
      </c>
      <c r="H35" s="170">
        <f>H34</f>
        <v/>
      </c>
      <c r="I35" s="170" t="n"/>
      <c r="J35" s="170" t="n"/>
      <c r="K35" s="170" t="n"/>
      <c r="L35" s="170">
        <f>SUM(C35:K35)</f>
        <v/>
      </c>
      <c r="M35" s="170">
        <f>M34</f>
        <v/>
      </c>
      <c r="N35" s="170">
        <f>N34-M35</f>
        <v/>
      </c>
      <c r="O35" s="170">
        <f>(N34*$N$6)/12</f>
        <v/>
      </c>
      <c r="P35" s="170">
        <f>L35-M35-O35</f>
        <v/>
      </c>
    </row>
    <row r="36">
      <c r="B36" s="169" t="n">
        <v>23</v>
      </c>
      <c r="C36" s="170">
        <f>C35</f>
        <v/>
      </c>
      <c r="D36" s="170" t="n"/>
      <c r="E36" s="170" t="n"/>
      <c r="F36" s="170" t="n"/>
      <c r="G36" s="170">
        <f>G35</f>
        <v/>
      </c>
      <c r="H36" s="170">
        <f>H35</f>
        <v/>
      </c>
      <c r="I36" s="170" t="n"/>
      <c r="J36" s="170" t="n"/>
      <c r="K36" s="170" t="n"/>
      <c r="L36" s="170">
        <f>SUM(C36:K36)</f>
        <v/>
      </c>
      <c r="M36" s="170">
        <f>M35</f>
        <v/>
      </c>
      <c r="N36" s="170">
        <f>N35-M36</f>
        <v/>
      </c>
      <c r="O36" s="170">
        <f>(N35*$N$6)/12</f>
        <v/>
      </c>
      <c r="P36" s="170">
        <f>L36-M36-O36</f>
        <v/>
      </c>
    </row>
    <row r="37">
      <c r="B37" s="169" t="n">
        <v>24</v>
      </c>
      <c r="C37" s="170">
        <f>C36</f>
        <v/>
      </c>
      <c r="D37" s="170" t="n"/>
      <c r="E37" s="170" t="n"/>
      <c r="F37" s="170" t="n"/>
      <c r="G37" s="170">
        <f>G36</f>
        <v/>
      </c>
      <c r="H37" s="170">
        <f>H36</f>
        <v/>
      </c>
      <c r="I37" s="170" t="n"/>
      <c r="J37" s="170" t="n"/>
      <c r="K37" s="170" t="n"/>
      <c r="L37" s="170">
        <f>SUM(C37:K37)</f>
        <v/>
      </c>
      <c r="M37" s="170">
        <f>M36</f>
        <v/>
      </c>
      <c r="N37" s="170">
        <f>N36-M37</f>
        <v/>
      </c>
      <c r="O37" s="170">
        <f>(N36*$N$6)/12</f>
        <v/>
      </c>
      <c r="P37" s="170">
        <f>L37-M37-O37</f>
        <v/>
      </c>
    </row>
    <row r="38">
      <c r="B38" s="169" t="n">
        <v>25</v>
      </c>
      <c r="C38" s="170">
        <f>C37</f>
        <v/>
      </c>
      <c r="D38" s="170" t="n"/>
      <c r="E38" s="170" t="n"/>
      <c r="F38" s="170" t="n"/>
      <c r="G38" s="170">
        <f>G37</f>
        <v/>
      </c>
      <c r="H38" s="170">
        <f>H37</f>
        <v/>
      </c>
      <c r="I38" s="170" t="n"/>
      <c r="J38" s="170" t="n"/>
      <c r="K38" s="170" t="n"/>
      <c r="L38" s="170">
        <f>SUM(C38:K38)</f>
        <v/>
      </c>
      <c r="M38" s="170">
        <f>M37</f>
        <v/>
      </c>
      <c r="N38" s="170">
        <f>N37-M38</f>
        <v/>
      </c>
      <c r="O38" s="170">
        <f>(N37*$N$6)/12</f>
        <v/>
      </c>
      <c r="P38" s="170">
        <f>L38-M38-O38</f>
        <v/>
      </c>
    </row>
    <row r="39">
      <c r="B39" s="169" t="n">
        <v>26</v>
      </c>
      <c r="C39" s="170">
        <f>C38</f>
        <v/>
      </c>
      <c r="D39" s="170" t="n"/>
      <c r="E39" s="170" t="n"/>
      <c r="F39" s="170" t="n"/>
      <c r="G39" s="170">
        <f>G38</f>
        <v/>
      </c>
      <c r="H39" s="170">
        <f>H38</f>
        <v/>
      </c>
      <c r="I39" s="170" t="n"/>
      <c r="J39" s="170" t="n"/>
      <c r="K39" s="170" t="n"/>
      <c r="L39" s="170">
        <f>SUM(C39:K39)</f>
        <v/>
      </c>
      <c r="M39" s="170">
        <f>M38</f>
        <v/>
      </c>
      <c r="N39" s="170">
        <f>N38-M39</f>
        <v/>
      </c>
      <c r="O39" s="170">
        <f>(N38*$N$6)/12</f>
        <v/>
      </c>
      <c r="P39" s="170">
        <f>L39-M39-O39</f>
        <v/>
      </c>
    </row>
    <row r="40">
      <c r="B40" s="169" t="n">
        <v>27</v>
      </c>
      <c r="C40" s="170">
        <f>C39</f>
        <v/>
      </c>
      <c r="D40" s="170" t="n"/>
      <c r="E40" s="170" t="n"/>
      <c r="F40" s="170" t="n"/>
      <c r="G40" s="170">
        <f>G39</f>
        <v/>
      </c>
      <c r="H40" s="170">
        <f>H39</f>
        <v/>
      </c>
      <c r="I40" s="170" t="n"/>
      <c r="J40" s="170" t="n"/>
      <c r="K40" s="170" t="n"/>
      <c r="L40" s="170">
        <f>SUM(C40:K40)</f>
        <v/>
      </c>
      <c r="M40" s="170">
        <f>M39</f>
        <v/>
      </c>
      <c r="N40" s="170">
        <f>N39-M40</f>
        <v/>
      </c>
      <c r="O40" s="170">
        <f>(N39*$N$6)/12</f>
        <v/>
      </c>
      <c r="P40" s="170">
        <f>L40-M40-O40</f>
        <v/>
      </c>
    </row>
    <row r="41">
      <c r="B41" s="169" t="n">
        <v>28</v>
      </c>
      <c r="C41" s="170">
        <f>C40</f>
        <v/>
      </c>
      <c r="D41" s="170" t="n"/>
      <c r="E41" s="170" t="n"/>
      <c r="F41" s="170" t="n"/>
      <c r="G41" s="170">
        <f>G40</f>
        <v/>
      </c>
      <c r="H41" s="170">
        <f>H40</f>
        <v/>
      </c>
      <c r="I41" s="170" t="n"/>
      <c r="J41" s="170" t="n"/>
      <c r="K41" s="170" t="n"/>
      <c r="L41" s="170">
        <f>SUM(C41:K41)</f>
        <v/>
      </c>
      <c r="M41" s="170">
        <f>M40</f>
        <v/>
      </c>
      <c r="N41" s="170">
        <f>N40-M41</f>
        <v/>
      </c>
      <c r="O41" s="170">
        <f>(N40*$N$6)/12</f>
        <v/>
      </c>
      <c r="P41" s="170">
        <f>L41-M41-O41</f>
        <v/>
      </c>
    </row>
    <row r="42">
      <c r="B42" s="169" t="n">
        <v>29</v>
      </c>
      <c r="C42" s="170">
        <f>C41</f>
        <v/>
      </c>
      <c r="D42" s="170" t="n"/>
      <c r="E42" s="170" t="n"/>
      <c r="F42" s="170" t="n"/>
      <c r="G42" s="170">
        <f>G41</f>
        <v/>
      </c>
      <c r="H42" s="170">
        <f>H41</f>
        <v/>
      </c>
      <c r="I42" s="170" t="n"/>
      <c r="J42" s="170" t="n"/>
      <c r="K42" s="170" t="n"/>
      <c r="L42" s="170">
        <f>SUM(C42:K42)</f>
        <v/>
      </c>
      <c r="M42" s="170">
        <f>M41</f>
        <v/>
      </c>
      <c r="N42" s="170">
        <f>N41-M42</f>
        <v/>
      </c>
      <c r="O42" s="170">
        <f>(N41*$N$6)/12</f>
        <v/>
      </c>
      <c r="P42" s="170">
        <f>L42-M42-O42</f>
        <v/>
      </c>
    </row>
    <row r="43">
      <c r="B43" s="169" t="n">
        <v>30</v>
      </c>
      <c r="C43" s="170">
        <f>C42</f>
        <v/>
      </c>
      <c r="D43" s="170" t="n"/>
      <c r="E43" s="170" t="n"/>
      <c r="F43" s="170" t="n"/>
      <c r="G43" s="170">
        <f>G42</f>
        <v/>
      </c>
      <c r="H43" s="170">
        <f>H42</f>
        <v/>
      </c>
      <c r="I43" s="170" t="n"/>
      <c r="J43" s="170" t="n"/>
      <c r="K43" s="170" t="n"/>
      <c r="L43" s="170">
        <f>SUM(C43:K43)</f>
        <v/>
      </c>
      <c r="M43" s="170">
        <f>M42</f>
        <v/>
      </c>
      <c r="N43" s="170">
        <f>N42-M43</f>
        <v/>
      </c>
      <c r="O43" s="170">
        <f>(N42*$N$6)/12</f>
        <v/>
      </c>
      <c r="P43" s="170">
        <f>L43-M43-O43</f>
        <v/>
      </c>
    </row>
    <row r="44">
      <c r="B44" s="169" t="n">
        <v>31</v>
      </c>
      <c r="C44" s="170">
        <f>C43</f>
        <v/>
      </c>
      <c r="D44" s="170" t="n"/>
      <c r="E44" s="170" t="n"/>
      <c r="F44" s="170" t="n"/>
      <c r="G44" s="170">
        <f>G43</f>
        <v/>
      </c>
      <c r="H44" s="170">
        <f>H43</f>
        <v/>
      </c>
      <c r="I44" s="170" t="n"/>
      <c r="J44" s="170" t="n"/>
      <c r="K44" s="170" t="n"/>
      <c r="L44" s="170">
        <f>SUM(C44:K44)</f>
        <v/>
      </c>
      <c r="M44" s="170">
        <f>M43</f>
        <v/>
      </c>
      <c r="N44" s="170">
        <f>N43-M44</f>
        <v/>
      </c>
      <c r="O44" s="170">
        <f>(N43*$N$6)/12</f>
        <v/>
      </c>
      <c r="P44" s="170">
        <f>L44-M44-O44</f>
        <v/>
      </c>
    </row>
    <row r="45">
      <c r="B45" s="169" t="n">
        <v>32</v>
      </c>
      <c r="C45" s="170">
        <f>C44</f>
        <v/>
      </c>
      <c r="D45" s="170" t="n"/>
      <c r="E45" s="170" t="n"/>
      <c r="F45" s="170" t="n"/>
      <c r="G45" s="170">
        <f>G44</f>
        <v/>
      </c>
      <c r="H45" s="170">
        <f>H44</f>
        <v/>
      </c>
      <c r="I45" s="170" t="n"/>
      <c r="J45" s="170" t="n"/>
      <c r="K45" s="170" t="n"/>
      <c r="L45" s="170">
        <f>SUM(C45:K45)</f>
        <v/>
      </c>
      <c r="M45" s="170">
        <f>M44</f>
        <v/>
      </c>
      <c r="N45" s="170">
        <f>N44-M45</f>
        <v/>
      </c>
      <c r="O45" s="170">
        <f>(N44*$N$6)/12</f>
        <v/>
      </c>
      <c r="P45" s="170">
        <f>L45-M45-O45</f>
        <v/>
      </c>
    </row>
    <row r="46">
      <c r="B46" s="169" t="n">
        <v>33</v>
      </c>
      <c r="C46" s="170">
        <f>C45</f>
        <v/>
      </c>
      <c r="D46" s="170" t="n"/>
      <c r="E46" s="170" t="n"/>
      <c r="F46" s="170" t="n"/>
      <c r="G46" s="170">
        <f>G45</f>
        <v/>
      </c>
      <c r="H46" s="170">
        <f>H45</f>
        <v/>
      </c>
      <c r="I46" s="170" t="n"/>
      <c r="J46" s="170" t="n"/>
      <c r="K46" s="170" t="n"/>
      <c r="L46" s="170">
        <f>SUM(C46:K46)</f>
        <v/>
      </c>
      <c r="M46" s="170">
        <f>M45</f>
        <v/>
      </c>
      <c r="N46" s="170">
        <f>N45-M46</f>
        <v/>
      </c>
      <c r="O46" s="170">
        <f>(N45*$N$6)/12</f>
        <v/>
      </c>
      <c r="P46" s="170">
        <f>L46-M46-O46</f>
        <v/>
      </c>
    </row>
    <row r="47">
      <c r="B47" s="169" t="n">
        <v>34</v>
      </c>
      <c r="C47" s="170">
        <f>C46</f>
        <v/>
      </c>
      <c r="D47" s="170" t="n"/>
      <c r="E47" s="170" t="n"/>
      <c r="F47" s="170" t="n"/>
      <c r="G47" s="170">
        <f>G46</f>
        <v/>
      </c>
      <c r="H47" s="170">
        <f>H46</f>
        <v/>
      </c>
      <c r="I47" s="170" t="n"/>
      <c r="J47" s="170" t="n"/>
      <c r="K47" s="170" t="n"/>
      <c r="L47" s="170">
        <f>SUM(C47:K47)</f>
        <v/>
      </c>
      <c r="M47" s="170">
        <f>M46</f>
        <v/>
      </c>
      <c r="N47" s="170">
        <f>N46-M47</f>
        <v/>
      </c>
      <c r="O47" s="170">
        <f>(N46*$N$6)/12</f>
        <v/>
      </c>
      <c r="P47" s="170">
        <f>L47-M47-O47</f>
        <v/>
      </c>
    </row>
    <row r="48">
      <c r="B48" s="169" t="n">
        <v>35</v>
      </c>
      <c r="C48" s="170">
        <f>C47</f>
        <v/>
      </c>
      <c r="D48" s="170" t="n"/>
      <c r="E48" s="170" t="n"/>
      <c r="F48" s="170" t="n"/>
      <c r="G48" s="170">
        <f>G47</f>
        <v/>
      </c>
      <c r="H48" s="170">
        <f>H47</f>
        <v/>
      </c>
      <c r="I48" s="170" t="n"/>
      <c r="J48" s="170" t="n"/>
      <c r="K48" s="170" t="n"/>
      <c r="L48" s="170">
        <f>SUM(C48:K48)</f>
        <v/>
      </c>
      <c r="M48" s="170">
        <f>M47</f>
        <v/>
      </c>
      <c r="N48" s="170">
        <f>N47-M48</f>
        <v/>
      </c>
      <c r="O48" s="170">
        <f>(N47*$N$6)/12</f>
        <v/>
      </c>
      <c r="P48" s="170">
        <f>L48-M48-O48</f>
        <v/>
      </c>
    </row>
    <row r="49">
      <c r="B49" s="169" t="n">
        <v>36</v>
      </c>
      <c r="C49" s="170">
        <f>C48</f>
        <v/>
      </c>
      <c r="D49" s="170" t="n"/>
      <c r="E49" s="170" t="n"/>
      <c r="F49" s="170" t="n"/>
      <c r="G49" s="170">
        <f>G48</f>
        <v/>
      </c>
      <c r="H49" s="170">
        <f>H48</f>
        <v/>
      </c>
      <c r="I49" s="170" t="n"/>
      <c r="J49" s="170" t="n"/>
      <c r="K49" s="170" t="n"/>
      <c r="L49" s="170">
        <f>SUM(C49:K49)</f>
        <v/>
      </c>
      <c r="M49" s="170">
        <f>M48</f>
        <v/>
      </c>
      <c r="N49" s="170">
        <f>N48-M49</f>
        <v/>
      </c>
      <c r="O49" s="170">
        <f>(N48*$N$6)/12</f>
        <v/>
      </c>
      <c r="P49" s="170">
        <f>L49-M49-O49</f>
        <v/>
      </c>
    </row>
    <row r="50">
      <c r="B50" s="169" t="n">
        <v>37</v>
      </c>
      <c r="C50" s="170" t="n"/>
      <c r="D50" s="170" t="n"/>
      <c r="E50" s="170" t="n"/>
      <c r="F50" s="170" t="n"/>
      <c r="G50" s="170" t="n"/>
      <c r="H50" s="170" t="n"/>
      <c r="I50" s="170" t="n"/>
      <c r="J50" s="170" t="n"/>
      <c r="K50" s="170" t="n"/>
      <c r="L50" s="170">
        <f>SUM(C50:K50)</f>
        <v/>
      </c>
      <c r="M50" s="170" t="n"/>
      <c r="N50" s="170" t="n"/>
      <c r="O50" s="170" t="n"/>
      <c r="P50" s="170">
        <f>L50-M50-O50</f>
        <v/>
      </c>
    </row>
    <row r="51">
      <c r="B51" s="57" t="n"/>
      <c r="C51" s="173" t="n"/>
      <c r="D51" s="173" t="n"/>
      <c r="E51" s="173" t="n"/>
      <c r="F51" s="173" t="n"/>
      <c r="G51" s="173" t="n"/>
      <c r="H51" s="173" t="n"/>
      <c r="I51" s="173" t="n"/>
      <c r="J51" s="173" t="n"/>
      <c r="K51" s="173" t="n"/>
      <c r="L51" s="173" t="n"/>
      <c r="M51" s="173" t="n"/>
      <c r="N51" s="173" t="n"/>
      <c r="O51" s="173" t="n"/>
      <c r="P51" s="173">
        <f>SUM(P14:P50)</f>
        <v/>
      </c>
    </row>
    <row r="52">
      <c r="H52" s="155" t="n"/>
      <c r="J52" s="167" t="n"/>
    </row>
  </sheetData>
  <mergeCells count="1">
    <mergeCell ref="B2:P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2025-07-04T01:34:43Z</dcterms:created>
  <dcterms:modified xsi:type="dcterms:W3CDTF">2026-06-16T02:30:18Z</dcterms:modified>
  <cp:lastModifiedBy>권종훈</cp:lastModifiedBy>
</cp:coreProperties>
</file>